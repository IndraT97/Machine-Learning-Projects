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4.xml" ContentType="application/vnd.openxmlformats-officedocument.drawing+xml"/>
  <Override PartName="/xl/ink/ink5.xml" ContentType="application/inkml+xml"/>
  <Override PartName="/xl/ink/ink6.xml" ContentType="application/inkml+xml"/>
  <Override PartName="/xl/ink/ink7.xml" ContentType="application/inkml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ink/ink8.xml" ContentType="application/inkml+xml"/>
  <Override PartName="/xl/ink/ink9.xml" ContentType="application/inkml+xml"/>
  <Override PartName="/xl/ink/ink10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dra\Downloads\"/>
    </mc:Choice>
  </mc:AlternateContent>
  <xr:revisionPtr revIDLastSave="0" documentId="13_ncr:1_{C064DFA8-FC1C-4A28-9023-890BE0CEB856}" xr6:coauthVersionLast="47" xr6:coauthVersionMax="47" xr10:uidLastSave="{00000000-0000-0000-0000-000000000000}"/>
  <bookViews>
    <workbookView xWindow="-108" yWindow="-108" windowWidth="23256" windowHeight="13896" activeTab="4" xr2:uid="{F95A0E6A-9DF7-4ADA-94C9-77596F51C216}"/>
  </bookViews>
  <sheets>
    <sheet name="Simple Exponential" sheetId="1" r:id="rId1"/>
    <sheet name="Double Exponential" sheetId="2" r:id="rId2"/>
    <sheet name="Tripple Exponential" sheetId="3" r:id="rId3"/>
    <sheet name="Moving Average" sheetId="4" r:id="rId4"/>
    <sheet name="Centring" sheetId="5" r:id="rId5"/>
  </sheets>
  <externalReferences>
    <externalReference r:id="rId6"/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5" l="1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C3" i="5"/>
  <c r="D21" i="4"/>
  <c r="D22" i="4" s="1"/>
  <c r="C21" i="4"/>
  <c r="C22" i="4" s="1"/>
  <c r="C23" i="4" s="1"/>
  <c r="C24" i="4" s="1"/>
  <c r="C25" i="4" s="1"/>
  <c r="E20" i="4"/>
  <c r="E21" i="4" s="1"/>
  <c r="D20" i="4"/>
  <c r="C20" i="4"/>
  <c r="E19" i="4"/>
  <c r="D19" i="4"/>
  <c r="C19" i="4"/>
  <c r="E18" i="4"/>
  <c r="D18" i="4"/>
  <c r="C18" i="4"/>
  <c r="E17" i="4"/>
  <c r="D17" i="4"/>
  <c r="C17" i="4"/>
  <c r="E16" i="4"/>
  <c r="D16" i="4"/>
  <c r="C16" i="4"/>
  <c r="E15" i="4"/>
  <c r="D15" i="4"/>
  <c r="C15" i="4"/>
  <c r="E14" i="4"/>
  <c r="D14" i="4"/>
  <c r="C14" i="4"/>
  <c r="E13" i="4"/>
  <c r="D13" i="4"/>
  <c r="C13" i="4"/>
  <c r="E12" i="4"/>
  <c r="D12" i="4"/>
  <c r="C12" i="4"/>
  <c r="E11" i="4"/>
  <c r="D11" i="4"/>
  <c r="C11" i="4"/>
  <c r="E10" i="4"/>
  <c r="D10" i="4"/>
  <c r="C10" i="4"/>
  <c r="E9" i="4"/>
  <c r="D9" i="4"/>
  <c r="C9" i="4"/>
  <c r="E8" i="4"/>
  <c r="D8" i="4"/>
  <c r="C8" i="4"/>
  <c r="E7" i="4"/>
  <c r="D7" i="4"/>
  <c r="C7" i="4"/>
  <c r="E6" i="4"/>
  <c r="D6" i="4"/>
  <c r="C6" i="4"/>
  <c r="E5" i="4"/>
  <c r="D5" i="4"/>
  <c r="D4" i="4"/>
  <c r="D24" i="4" l="1"/>
  <c r="D23" i="4"/>
  <c r="E22" i="4"/>
  <c r="E23" i="4"/>
  <c r="D25" i="4" l="1"/>
  <c r="E24" i="4"/>
  <c r="E25" i="4" s="1"/>
  <c r="E6" i="3" l="1"/>
  <c r="C18" i="3"/>
  <c r="E7" i="3"/>
  <c r="E8" i="3"/>
  <c r="E9" i="3"/>
  <c r="E10" i="3"/>
  <c r="E11" i="3"/>
  <c r="E12" i="3"/>
  <c r="E13" i="3"/>
  <c r="E14" i="3"/>
  <c r="E15" i="3"/>
  <c r="E16" i="3"/>
  <c r="E17" i="3"/>
  <c r="E18" i="3"/>
  <c r="D18" i="3" l="1"/>
  <c r="C19" i="3" s="1"/>
  <c r="F47" i="2"/>
  <c r="F46" i="2"/>
  <c r="F43" i="2"/>
  <c r="F42" i="2"/>
  <c r="F8" i="2"/>
  <c r="E7" i="2"/>
  <c r="D41" i="2"/>
  <c r="F20" i="2"/>
  <c r="D7" i="2"/>
  <c r="D8" i="2" s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9" i="3" l="1"/>
  <c r="C20" i="3" s="1"/>
  <c r="F19" i="3"/>
  <c r="E8" i="2"/>
  <c r="F9" i="2" s="1"/>
  <c r="D9" i="2"/>
  <c r="F20" i="3" l="1"/>
  <c r="D20" i="3"/>
  <c r="F21" i="3"/>
  <c r="C21" i="3"/>
  <c r="E9" i="2"/>
  <c r="F10" i="2" s="1"/>
  <c r="D21" i="3" l="1"/>
  <c r="C22" i="3" s="1"/>
  <c r="F22" i="3"/>
  <c r="D10" i="2"/>
  <c r="D22" i="3" l="1"/>
  <c r="C23" i="3"/>
  <c r="F23" i="3"/>
  <c r="E10" i="2"/>
  <c r="D11" i="2" s="1"/>
  <c r="F11" i="2"/>
  <c r="D23" i="3" l="1"/>
  <c r="F24" i="3" s="1"/>
  <c r="E11" i="2"/>
  <c r="F12" i="2" s="1"/>
  <c r="C24" i="3" l="1"/>
  <c r="D12" i="2"/>
  <c r="D24" i="3" l="1"/>
  <c r="F25" i="3" s="1"/>
  <c r="C25" i="3"/>
  <c r="E12" i="2"/>
  <c r="D13" i="2" s="1"/>
  <c r="D25" i="3" l="1"/>
  <c r="F26" i="3"/>
  <c r="C26" i="3"/>
  <c r="E13" i="2"/>
  <c r="F14" i="2" s="1"/>
  <c r="F13" i="2"/>
  <c r="D26" i="3" l="1"/>
  <c r="F27" i="3"/>
  <c r="C27" i="3"/>
  <c r="D14" i="2"/>
  <c r="D27" i="3" l="1"/>
  <c r="C28" i="3"/>
  <c r="F28" i="3"/>
  <c r="E14" i="2"/>
  <c r="F15" i="2" s="1"/>
  <c r="D15" i="2"/>
  <c r="D28" i="3" l="1"/>
  <c r="C29" i="3"/>
  <c r="F29" i="3"/>
  <c r="E15" i="2"/>
  <c r="F16" i="2" s="1"/>
  <c r="D29" i="3" l="1"/>
  <c r="F30" i="3" s="1"/>
  <c r="C30" i="3"/>
  <c r="D16" i="2"/>
  <c r="D30" i="3" l="1"/>
  <c r="C31" i="3"/>
  <c r="F31" i="3"/>
  <c r="E16" i="2"/>
  <c r="F17" i="2"/>
  <c r="D17" i="2"/>
  <c r="D31" i="3" l="1"/>
  <c r="C32" i="3"/>
  <c r="F32" i="3"/>
  <c r="E17" i="2"/>
  <c r="F18" i="2"/>
  <c r="D18" i="2"/>
  <c r="D32" i="3" l="1"/>
  <c r="C33" i="3"/>
  <c r="F33" i="3"/>
  <c r="E18" i="2"/>
  <c r="F19" i="2" s="1"/>
  <c r="D19" i="2"/>
  <c r="D33" i="3" l="1"/>
  <c r="F34" i="3"/>
  <c r="C34" i="3"/>
  <c r="E19" i="2"/>
  <c r="D20" i="2"/>
  <c r="D34" i="3" l="1"/>
  <c r="F35" i="3" s="1"/>
  <c r="E20" i="2"/>
  <c r="F21" i="2" s="1"/>
  <c r="C35" i="3" l="1"/>
  <c r="D21" i="2"/>
  <c r="D35" i="3" l="1"/>
  <c r="C36" i="3"/>
  <c r="F36" i="3"/>
  <c r="E21" i="2"/>
  <c r="D22" i="2" s="1"/>
  <c r="F22" i="2"/>
  <c r="D36" i="3" l="1"/>
  <c r="C37" i="3" s="1"/>
  <c r="E22" i="2"/>
  <c r="F23" i="2" s="1"/>
  <c r="D37" i="3" l="1"/>
  <c r="C38" i="3"/>
  <c r="F38" i="3"/>
  <c r="F37" i="3"/>
  <c r="D23" i="2"/>
  <c r="D38" i="3" l="1"/>
  <c r="C39" i="3"/>
  <c r="F39" i="3"/>
  <c r="E23" i="2"/>
  <c r="D24" i="2" s="1"/>
  <c r="D39" i="3" l="1"/>
  <c r="F40" i="3" s="1"/>
  <c r="E24" i="2"/>
  <c r="F25" i="2"/>
  <c r="D25" i="2"/>
  <c r="F24" i="2"/>
  <c r="C40" i="3" l="1"/>
  <c r="E25" i="2"/>
  <c r="F26" i="2" s="1"/>
  <c r="D40" i="3" l="1"/>
  <c r="F41" i="3" s="1"/>
  <c r="D26" i="2"/>
  <c r="C41" i="3" l="1"/>
  <c r="E26" i="2"/>
  <c r="D27" i="2" s="1"/>
  <c r="D41" i="3" l="1"/>
  <c r="C42" i="3"/>
  <c r="F42" i="3"/>
  <c r="E27" i="2"/>
  <c r="F28" i="2"/>
  <c r="D28" i="2"/>
  <c r="F27" i="2"/>
  <c r="D42" i="3" l="1"/>
  <c r="C43" i="3"/>
  <c r="F43" i="3"/>
  <c r="E28" i="2"/>
  <c r="F29" i="2" s="1"/>
  <c r="D43" i="3" l="1"/>
  <c r="C44" i="3"/>
  <c r="F44" i="3"/>
  <c r="D29" i="2"/>
  <c r="D44" i="3" l="1"/>
  <c r="F45" i="3"/>
  <c r="C45" i="3"/>
  <c r="E29" i="2"/>
  <c r="D30" i="2" s="1"/>
  <c r="D45" i="3" l="1"/>
  <c r="C46" i="3" s="1"/>
  <c r="E30" i="2"/>
  <c r="F31" i="2" s="1"/>
  <c r="F30" i="2"/>
  <c r="D46" i="3" l="1"/>
  <c r="C47" i="3"/>
  <c r="F47" i="3"/>
  <c r="F46" i="3"/>
  <c r="D31" i="2"/>
  <c r="D47" i="3" l="1"/>
  <c r="C48" i="3"/>
  <c r="F48" i="3"/>
  <c r="E31" i="2"/>
  <c r="F32" i="2" s="1"/>
  <c r="D48" i="3" l="1"/>
  <c r="C49" i="3" s="1"/>
  <c r="F49" i="3"/>
  <c r="D32" i="2"/>
  <c r="D49" i="3" l="1"/>
  <c r="F50" i="3" s="1"/>
  <c r="C50" i="3"/>
  <c r="E32" i="2"/>
  <c r="F33" i="2"/>
  <c r="D33" i="2"/>
  <c r="D50" i="3" l="1"/>
  <c r="F51" i="3" s="1"/>
  <c r="E33" i="2"/>
  <c r="F34" i="2" s="1"/>
  <c r="C51" i="3" l="1"/>
  <c r="D34" i="2"/>
  <c r="D51" i="3" l="1"/>
  <c r="C52" i="3"/>
  <c r="F52" i="3"/>
  <c r="E34" i="2"/>
  <c r="F35" i="2"/>
  <c r="D35" i="2"/>
  <c r="D52" i="3" l="1"/>
  <c r="C53" i="3"/>
  <c r="F53" i="3"/>
  <c r="E35" i="2"/>
  <c r="F36" i="2" s="1"/>
  <c r="D53" i="3" l="1"/>
  <c r="F54" i="3" s="1"/>
  <c r="D36" i="2"/>
  <c r="C54" i="3" l="1"/>
  <c r="E36" i="2"/>
  <c r="F37" i="2" s="1"/>
  <c r="D54" i="3" l="1"/>
  <c r="C55" i="3" s="1"/>
  <c r="D37" i="2"/>
  <c r="D55" i="3" l="1"/>
  <c r="F56" i="3" s="1"/>
  <c r="C56" i="3"/>
  <c r="F55" i="3"/>
  <c r="E37" i="2"/>
  <c r="D38" i="2" s="1"/>
  <c r="F38" i="2"/>
  <c r="D56" i="3" l="1"/>
  <c r="C57" i="3" s="1"/>
  <c r="E38" i="2"/>
  <c r="F39" i="2" s="1"/>
  <c r="D57" i="3" l="1"/>
  <c r="C58" i="3"/>
  <c r="F58" i="3"/>
  <c r="F57" i="3"/>
  <c r="D39" i="2"/>
  <c r="D58" i="3" l="1"/>
  <c r="F59" i="3"/>
  <c r="C59" i="3"/>
  <c r="E39" i="2"/>
  <c r="D40" i="2" s="1"/>
  <c r="D59" i="3" l="1"/>
  <c r="C60" i="3" s="1"/>
  <c r="E40" i="2"/>
  <c r="F41" i="2"/>
  <c r="F40" i="2"/>
  <c r="D60" i="3" l="1"/>
  <c r="F61" i="3" s="1"/>
  <c r="C61" i="3"/>
  <c r="F60" i="3"/>
  <c r="E41" i="2"/>
  <c r="D61" i="3" l="1"/>
  <c r="C62" i="3" s="1"/>
  <c r="F62" i="3"/>
  <c r="F45" i="2"/>
  <c r="F44" i="2"/>
  <c r="D62" i="3" l="1"/>
  <c r="C63" i="3"/>
  <c r="F63" i="3"/>
  <c r="D63" i="3" l="1"/>
  <c r="C64" i="3"/>
  <c r="F64" i="3"/>
  <c r="D64" i="3" l="1"/>
  <c r="C65" i="3"/>
  <c r="F65" i="3"/>
  <c r="D65" i="3" l="1"/>
  <c r="F66" i="3"/>
  <c r="C66" i="3"/>
  <c r="D66" i="3" l="1"/>
  <c r="F67" i="3" s="1"/>
  <c r="C67" i="3"/>
  <c r="D67" i="3" l="1"/>
  <c r="C68" i="3"/>
  <c r="F68" i="3"/>
  <c r="D68" i="3" l="1"/>
  <c r="C69" i="3" s="1"/>
  <c r="F69" i="3"/>
  <c r="D69" i="3" l="1"/>
  <c r="C70" i="3" s="1"/>
  <c r="D70" i="3" l="1"/>
  <c r="C71" i="3"/>
  <c r="F71" i="3"/>
  <c r="F70" i="3"/>
  <c r="D71" i="3" l="1"/>
  <c r="F72" i="3" s="1"/>
  <c r="C72" i="3" l="1"/>
  <c r="D72" i="3" l="1"/>
  <c r="C73" i="3" s="1"/>
  <c r="D73" i="3" l="1"/>
  <c r="C74" i="3"/>
  <c r="F74" i="3"/>
  <c r="F73" i="3"/>
  <c r="D74" i="3" l="1"/>
  <c r="C75" i="3"/>
  <c r="F75" i="3"/>
  <c r="D75" i="3" l="1"/>
  <c r="C76" i="3" s="1"/>
  <c r="D76" i="3" l="1"/>
  <c r="F77" i="3" s="1"/>
  <c r="C77" i="3"/>
  <c r="F76" i="3"/>
  <c r="D77" i="3" l="1"/>
  <c r="C78" i="3" s="1"/>
  <c r="D78" i="3" l="1"/>
  <c r="C79" i="3"/>
  <c r="F79" i="3"/>
  <c r="F78" i="3"/>
  <c r="D79" i="3" l="1"/>
  <c r="F80" i="3"/>
  <c r="C80" i="3"/>
  <c r="D80" i="3" l="1"/>
  <c r="C81" i="3"/>
  <c r="F81" i="3"/>
  <c r="D81" i="3" l="1"/>
  <c r="C82" i="3" s="1"/>
  <c r="D82" i="3" l="1"/>
  <c r="F83" i="3" s="1"/>
  <c r="F82" i="3"/>
  <c r="C83" i="3" l="1"/>
  <c r="D83" i="3" l="1"/>
  <c r="C84" i="3"/>
  <c r="F84" i="3"/>
  <c r="D84" i="3" l="1"/>
  <c r="C85" i="3"/>
  <c r="F85" i="3"/>
  <c r="D85" i="3" l="1"/>
  <c r="F86" i="3"/>
  <c r="C86" i="3"/>
  <c r="D86" i="3" l="1"/>
  <c r="C87" i="3"/>
  <c r="F87" i="3"/>
  <c r="D87" i="3" l="1"/>
  <c r="F88" i="3" s="1"/>
  <c r="C88" i="3" l="1"/>
  <c r="D88" i="3" l="1"/>
  <c r="C89" i="3" s="1"/>
  <c r="D89" i="3" l="1"/>
  <c r="C90" i="3"/>
  <c r="F90" i="3"/>
  <c r="F89" i="3"/>
  <c r="D90" i="3" l="1"/>
  <c r="F91" i="3" s="1"/>
  <c r="C91" i="3"/>
  <c r="D91" i="3" l="1"/>
  <c r="F92" i="3" s="1"/>
  <c r="C92" i="3" l="1"/>
  <c r="D92" i="3" l="1"/>
  <c r="F93" i="3" s="1"/>
  <c r="C93" i="3" l="1"/>
  <c r="D93" i="3" l="1"/>
  <c r="C94" i="3" s="1"/>
  <c r="D94" i="3" l="1"/>
  <c r="C95" i="3"/>
  <c r="F95" i="3"/>
  <c r="F94" i="3"/>
  <c r="D95" i="3" l="1"/>
  <c r="C96" i="3"/>
  <c r="F96" i="3"/>
  <c r="D96" i="3" l="1"/>
  <c r="C97" i="3"/>
  <c r="F97" i="3"/>
  <c r="D97" i="3" l="1"/>
  <c r="C98" i="3"/>
  <c r="F98" i="3"/>
  <c r="D98" i="3" l="1"/>
  <c r="F99" i="3" s="1"/>
  <c r="C99" i="3" l="1"/>
  <c r="D99" i="3" l="1"/>
  <c r="C100" i="3"/>
  <c r="F100" i="3"/>
  <c r="D100" i="3" l="1"/>
  <c r="C101" i="3"/>
  <c r="F101" i="3"/>
  <c r="D101" i="3" l="1"/>
  <c r="C102" i="3"/>
  <c r="F102" i="3"/>
  <c r="D102" i="3" l="1"/>
  <c r="C103" i="3"/>
  <c r="F103" i="3"/>
  <c r="D103" i="3" l="1"/>
  <c r="F104" i="3" s="1"/>
  <c r="C104" i="3"/>
  <c r="D104" i="3" l="1"/>
  <c r="C105" i="3" s="1"/>
  <c r="D105" i="3" l="1"/>
  <c r="C106" i="3"/>
  <c r="F106" i="3"/>
  <c r="F105" i="3"/>
  <c r="D106" i="3" l="1"/>
  <c r="C107" i="3"/>
  <c r="F107" i="3"/>
  <c r="D107" i="3" l="1"/>
  <c r="C108" i="3" s="1"/>
  <c r="F108" i="3" l="1"/>
  <c r="D108" i="3"/>
  <c r="F109" i="3" s="1"/>
  <c r="C109" i="3" l="1"/>
  <c r="D109" i="3"/>
  <c r="C110" i="3" s="1"/>
  <c r="D110" i="3" l="1"/>
  <c r="C111" i="3"/>
  <c r="F111" i="3"/>
  <c r="F110" i="3"/>
  <c r="D111" i="3" l="1"/>
  <c r="C112" i="3"/>
  <c r="F112" i="3"/>
  <c r="D112" i="3" l="1"/>
  <c r="C113" i="3" s="1"/>
  <c r="F113" i="3"/>
  <c r="D113" i="3" l="1"/>
  <c r="F114" i="3"/>
  <c r="C114" i="3"/>
  <c r="D114" i="3" l="1"/>
  <c r="F115" i="3" s="1"/>
  <c r="C115" i="3" l="1"/>
  <c r="D115" i="3" l="1"/>
  <c r="C116" i="3"/>
  <c r="F116" i="3"/>
  <c r="D116" i="3" l="1"/>
  <c r="C117" i="3"/>
  <c r="F117" i="3"/>
  <c r="D117" i="3" l="1"/>
  <c r="C118" i="3" s="1"/>
  <c r="F118" i="3"/>
  <c r="D118" i="3" l="1"/>
  <c r="C119" i="3"/>
  <c r="F119" i="3"/>
  <c r="D119" i="3" l="1"/>
  <c r="F120" i="3" s="1"/>
  <c r="C120" i="3" l="1"/>
  <c r="D120" i="3" l="1"/>
  <c r="C121" i="3" s="1"/>
  <c r="D121" i="3" l="1"/>
  <c r="C122" i="3"/>
  <c r="F122" i="3"/>
  <c r="F121" i="3"/>
  <c r="D122" i="3" l="1"/>
  <c r="F123" i="3"/>
  <c r="C123" i="3"/>
  <c r="D123" i="3" l="1"/>
  <c r="C124" i="3"/>
  <c r="F124" i="3"/>
  <c r="D124" i="3" l="1"/>
  <c r="C125" i="3"/>
  <c r="F125" i="3"/>
  <c r="D125" i="3" l="1"/>
  <c r="C126" i="3" s="1"/>
  <c r="D126" i="3" l="1"/>
  <c r="C127" i="3"/>
  <c r="F127" i="3"/>
  <c r="F126" i="3"/>
  <c r="D127" i="3" l="1"/>
  <c r="C128" i="3" s="1"/>
  <c r="F128" i="3" l="1"/>
  <c r="D128" i="3"/>
  <c r="C129" i="3"/>
  <c r="F129" i="3"/>
  <c r="D129" i="3" l="1"/>
  <c r="F130" i="3"/>
  <c r="C130" i="3"/>
  <c r="D130" i="3" l="1"/>
  <c r="F131" i="3" s="1"/>
  <c r="C131" i="3" l="1"/>
  <c r="D131" i="3" l="1"/>
  <c r="C132" i="3"/>
  <c r="F132" i="3"/>
  <c r="D132" i="3" l="1"/>
  <c r="C133" i="3"/>
  <c r="F133" i="3"/>
  <c r="D133" i="3" l="1"/>
  <c r="C134" i="3"/>
  <c r="F134" i="3"/>
  <c r="D134" i="3" l="1"/>
  <c r="C135" i="3" s="1"/>
  <c r="F135" i="3"/>
  <c r="D135" i="3" l="1"/>
  <c r="F136" i="3" s="1"/>
  <c r="C136" i="3" l="1"/>
  <c r="D136" i="3" l="1"/>
  <c r="C137" i="3" s="1"/>
  <c r="D137" i="3" l="1"/>
  <c r="C138" i="3"/>
  <c r="F138" i="3"/>
  <c r="F137" i="3"/>
  <c r="D138" i="3" l="1"/>
  <c r="C139" i="3"/>
  <c r="F139" i="3"/>
  <c r="D139" i="3" l="1"/>
  <c r="C140" i="3" s="1"/>
  <c r="F140" i="3"/>
  <c r="D140" i="3" l="1"/>
  <c r="F141" i="3" s="1"/>
  <c r="C141" i="3" l="1"/>
  <c r="D141" i="3" l="1"/>
  <c r="C142" i="3" s="1"/>
  <c r="D142" i="3" l="1"/>
  <c r="C143" i="3"/>
  <c r="F143" i="3"/>
  <c r="F142" i="3"/>
  <c r="D143" i="3" l="1"/>
  <c r="C144" i="3" s="1"/>
  <c r="F144" i="3" l="1"/>
  <c r="D144" i="3"/>
  <c r="C145" i="3" s="1"/>
  <c r="F145" i="3"/>
  <c r="D145" i="3" l="1"/>
  <c r="C146" i="3" s="1"/>
  <c r="D146" i="3" l="1"/>
  <c r="F147" i="3" s="1"/>
  <c r="F146" i="3"/>
  <c r="C147" i="3" l="1"/>
  <c r="D147" i="3" l="1"/>
  <c r="C148" i="3" s="1"/>
  <c r="F148" i="3"/>
  <c r="D148" i="3" l="1"/>
  <c r="C149" i="3"/>
  <c r="F149" i="3"/>
  <c r="D149" i="3" l="1"/>
  <c r="F152" i="3" s="1"/>
  <c r="F155" i="3"/>
  <c r="F154" i="3" l="1"/>
  <c r="F153" i="3"/>
  <c r="F151" i="3"/>
  <c r="F150" i="3"/>
</calcChain>
</file>

<file path=xl/sharedStrings.xml><?xml version="1.0" encoding="utf-8"?>
<sst xmlns="http://schemas.openxmlformats.org/spreadsheetml/2006/main" count="195" uniqueCount="189">
  <si>
    <t>alpha</t>
  </si>
  <si>
    <t>Date</t>
  </si>
  <si>
    <t>Rates</t>
  </si>
  <si>
    <t>Forecast</t>
  </si>
  <si>
    <t>Apha</t>
  </si>
  <si>
    <t>Beta</t>
  </si>
  <si>
    <t>Month</t>
  </si>
  <si>
    <t>Sales of shampoo over a three year period</t>
  </si>
  <si>
    <t>Lt</t>
  </si>
  <si>
    <t>Tt</t>
  </si>
  <si>
    <t>Yt+1</t>
  </si>
  <si>
    <t>Passengers</t>
  </si>
  <si>
    <t>St</t>
  </si>
  <si>
    <t>Yt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</si>
  <si>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</si>
  <si>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</si>
  <si>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</si>
  <si>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</si>
  <si>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</si>
  <si>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</si>
  <si>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</si>
  <si>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</si>
  <si>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</si>
  <si>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</si>
  <si>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</si>
  <si>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</si>
  <si>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</si>
  <si>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</si>
  <si>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</si>
  <si>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</si>
  <si>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</si>
  <si>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</si>
  <si>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</si>
  <si>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</si>
  <si>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</si>
  <si>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</si>
  <si>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</si>
  <si>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</si>
  <si>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</si>
  <si>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</si>
  <si>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</si>
  <si>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</si>
  <si>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</si>
  <si>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</si>
  <si>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</si>
  <si>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</si>
  <si>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</si>
  <si>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</si>
  <si>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</si>
  <si>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</si>
  <si>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</si>
  <si>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</si>
  <si>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</si>
  <si>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</si>
  <si>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</si>
  <si>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</si>
  <si>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</si>
  <si>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</si>
  <si>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</si>
  <si>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</si>
  <si>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</si>
  <si>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</si>
  <si>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</si>
  <si>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</si>
  <si>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</si>
  <si>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</si>
  <si>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</si>
  <si>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</si>
  <si>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</si>
  <si>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</si>
  <si>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</si>
  <si>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</si>
  <si>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</si>
  <si>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</si>
  <si>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</si>
  <si>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</si>
  <si>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</si>
  <si>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</si>
  <si>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</si>
  <si>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</si>
  <si>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</si>
  <si>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</si>
  <si>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</si>
  <si>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</si>
  <si>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</si>
  <si>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</si>
  <si>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</si>
  <si>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</si>
  <si>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</si>
  <si>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</si>
  <si>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</si>
  <si>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</si>
  <si>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</si>
  <si>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</si>
  <si>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</si>
  <si>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</si>
  <si>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</si>
  <si>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</si>
  <si>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</si>
  <si>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</si>
  <si>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</si>
  <si>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</si>
  <si>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</si>
  <si>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</si>
  <si>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</si>
  <si>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</si>
  <si>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</si>
  <si>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</si>
  <si>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</si>
  <si>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</si>
  <si>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</si>
  <si>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</si>
  <si>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</si>
  <si>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</si>
  <si>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</si>
  <si>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</si>
  <si>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</si>
  <si>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</si>
  <si>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</si>
  <si>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</si>
  <si>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</si>
  <si>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</si>
  <si>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</si>
  <si>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</si>
  <si>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</si>
  <si>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</si>
  <si>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</si>
  <si>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</si>
  <si>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</si>
  <si>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</si>
  <si>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</si>
  <si>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</si>
  <si>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</si>
  <si>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</si>
  <si>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</si>
  <si>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</si>
  <si>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</si>
  <si>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</si>
  <si>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</si>
  <si>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</si>
  <si>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</si>
  <si>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</si>
  <si>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</si>
  <si>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</si>
  <si>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</si>
  <si>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</si>
  <si>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</si>
  <si>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</si>
  <si>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</si>
  <si>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</si>
  <si>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</si>
  <si>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</si>
  <si>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</si>
  <si>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</si>
  <si>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</si>
  <si>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</si>
  <si>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</si>
  <si>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</si>
  <si>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</si>
  <si>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</si>
  <si>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</si>
  <si>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</si>
  <si>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</si>
  <si>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</si>
  <si>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Alpha</t>
  </si>
  <si>
    <t>Gama</t>
  </si>
  <si>
    <t>Trend can also be additive or multiplicative and accordingly the equation will change</t>
  </si>
  <si>
    <t>Seasonality can also be Additive or multiplicative ? and accordingly the eqution will change</t>
  </si>
  <si>
    <t>I'm assuming that the seasonality is multiplicative</t>
  </si>
  <si>
    <t>Alpha, Beta and Gama are hyperparamter. We can select best value of there paramter using solver in excel</t>
  </si>
  <si>
    <t>Data</t>
  </si>
  <si>
    <t>naïve</t>
  </si>
  <si>
    <t>MA(2)</t>
  </si>
  <si>
    <t>MA(3)</t>
  </si>
  <si>
    <t xml:space="preserve">Number of Births </t>
  </si>
  <si>
    <t xml:space="preserve">3- Moving </t>
  </si>
  <si>
    <t>5- Moving</t>
  </si>
  <si>
    <t>January</t>
  </si>
  <si>
    <t>Febuary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</si>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</sst>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[$-F800]dddd\,\ mmmm\ dd\,\ yyyy"/>
    <numFmt numFmtId="166" formatCode="[$-409]d\-mmm;@"/>
    <numFmt numFmtId="167" formatCode="0.0"/>
  </numFmts>
  <fonts count="6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17" fontId="1" fillId="0" borderId="0" xfId="0" applyNumberFormat="1" applyFont="1"/>
    <xf numFmtId="2" fontId="2" fillId="0" borderId="0" xfId="0" applyNumberFormat="1" applyFont="1"/>
    <xf numFmtId="2" fontId="0" fillId="0" borderId="0" xfId="0" applyNumberFormat="1"/>
    <xf numFmtId="17" fontId="3" fillId="0" borderId="0" xfId="0" applyNumberFormat="1" applyFont="1"/>
    <xf numFmtId="16" fontId="1" fillId="0" borderId="0" xfId="0" applyNumberFormat="1" applyFont="1"/>
    <xf numFmtId="16" fontId="3" fillId="0" borderId="0" xfId="0" applyNumberFormat="1" applyFont="1"/>
    <xf numFmtId="0" fontId="3" fillId="0" borderId="0" xfId="0" applyFont="1"/>
    <xf numFmtId="0" fontId="2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2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2" fillId="0" borderId="11" xfId="0" applyFont="1" applyBorder="1"/>
    <xf numFmtId="2" fontId="2" fillId="0" borderId="12" xfId="0" applyNumberFormat="1" applyFont="1" applyBorder="1"/>
    <xf numFmtId="17" fontId="1" fillId="0" borderId="5" xfId="0" applyNumberFormat="1" applyFont="1" applyBorder="1"/>
    <xf numFmtId="2" fontId="2" fillId="0" borderId="6" xfId="0" applyNumberFormat="1" applyFont="1" applyBorder="1"/>
    <xf numFmtId="17" fontId="3" fillId="0" borderId="5" xfId="0" applyNumberFormat="1" applyFont="1" applyBorder="1"/>
    <xf numFmtId="17" fontId="3" fillId="0" borderId="7" xfId="0" applyNumberFormat="1" applyFont="1" applyBorder="1"/>
    <xf numFmtId="0" fontId="2" fillId="0" borderId="8" xfId="0" applyFont="1" applyBorder="1"/>
    <xf numFmtId="2" fontId="2" fillId="0" borderId="9" xfId="0" applyNumberFormat="1" applyFont="1" applyBorder="1"/>
    <xf numFmtId="164" fontId="2" fillId="0" borderId="0" xfId="0" applyNumberFormat="1" applyFont="1"/>
    <xf numFmtId="164" fontId="2" fillId="0" borderId="8" xfId="0" applyNumberFormat="1" applyFont="1" applyBorder="1"/>
    <xf numFmtId="165" fontId="4" fillId="0" borderId="1" xfId="0" applyNumberFormat="1" applyFont="1" applyBorder="1"/>
    <xf numFmtId="0" fontId="4" fillId="0" borderId="1" xfId="0" applyFont="1" applyBorder="1"/>
    <xf numFmtId="0" fontId="5" fillId="0" borderId="0" xfId="0" applyFont="1"/>
    <xf numFmtId="166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[1]Sheet1!$B$4</c:f>
              <c:strCache>
                <c:ptCount val="1"/>
                <c:pt idx="0">
                  <c:v>Rates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[1]Sheet1!$A$5:$A$17</c:f>
              <c:numCache>
                <c:formatCode>General</c:formatCode>
                <c:ptCount val="13"/>
                <c:pt idx="0">
                  <c:v>36069</c:v>
                </c:pt>
                <c:pt idx="1">
                  <c:v>36100</c:v>
                </c:pt>
                <c:pt idx="2">
                  <c:v>36130</c:v>
                </c:pt>
                <c:pt idx="3">
                  <c:v>36161</c:v>
                </c:pt>
                <c:pt idx="4">
                  <c:v>36192</c:v>
                </c:pt>
                <c:pt idx="5">
                  <c:v>36220</c:v>
                </c:pt>
                <c:pt idx="6">
                  <c:v>36251</c:v>
                </c:pt>
                <c:pt idx="7">
                  <c:v>36281</c:v>
                </c:pt>
                <c:pt idx="8">
                  <c:v>36312</c:v>
                </c:pt>
                <c:pt idx="9">
                  <c:v>36342</c:v>
                </c:pt>
                <c:pt idx="10">
                  <c:v>36373</c:v>
                </c:pt>
                <c:pt idx="11">
                  <c:v>36404</c:v>
                </c:pt>
                <c:pt idx="12">
                  <c:v>36434</c:v>
                </c:pt>
              </c:numCache>
            </c:numRef>
          </c:cat>
          <c:val>
            <c:numRef>
              <c:f>[1]Sheet1!$B$5:$B$17</c:f>
              <c:numCache>
                <c:formatCode>General</c:formatCode>
                <c:ptCount val="13"/>
                <c:pt idx="0">
                  <c:v>6.35</c:v>
                </c:pt>
                <c:pt idx="1">
                  <c:v>5.36</c:v>
                </c:pt>
                <c:pt idx="2">
                  <c:v>5.25</c:v>
                </c:pt>
                <c:pt idx="3">
                  <c:v>4.9400000000000004</c:v>
                </c:pt>
                <c:pt idx="4">
                  <c:v>5.13</c:v>
                </c:pt>
                <c:pt idx="5">
                  <c:v>5.63</c:v>
                </c:pt>
                <c:pt idx="6">
                  <c:v>5.35</c:v>
                </c:pt>
                <c:pt idx="7">
                  <c:v>5.75</c:v>
                </c:pt>
                <c:pt idx="8">
                  <c:v>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05-4C93-9054-2C6C3CB1DEE4}"/>
            </c:ext>
          </c:extLst>
        </c:ser>
        <c:ser>
          <c:idx val="1"/>
          <c:order val="1"/>
          <c:tx>
            <c:strRef>
              <c:f>[1]Sheet1!$D$4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[1]Sheet1!$A$5:$A$17</c:f>
              <c:numCache>
                <c:formatCode>General</c:formatCode>
                <c:ptCount val="13"/>
                <c:pt idx="0">
                  <c:v>36069</c:v>
                </c:pt>
                <c:pt idx="1">
                  <c:v>36100</c:v>
                </c:pt>
                <c:pt idx="2">
                  <c:v>36130</c:v>
                </c:pt>
                <c:pt idx="3">
                  <c:v>36161</c:v>
                </c:pt>
                <c:pt idx="4">
                  <c:v>36192</c:v>
                </c:pt>
                <c:pt idx="5">
                  <c:v>36220</c:v>
                </c:pt>
                <c:pt idx="6">
                  <c:v>36251</c:v>
                </c:pt>
                <c:pt idx="7">
                  <c:v>36281</c:v>
                </c:pt>
                <c:pt idx="8">
                  <c:v>36312</c:v>
                </c:pt>
                <c:pt idx="9">
                  <c:v>36342</c:v>
                </c:pt>
                <c:pt idx="10">
                  <c:v>36373</c:v>
                </c:pt>
                <c:pt idx="11">
                  <c:v>36404</c:v>
                </c:pt>
                <c:pt idx="12">
                  <c:v>36434</c:v>
                </c:pt>
              </c:numCache>
            </c:numRef>
          </c:cat>
          <c:val>
            <c:numRef>
              <c:f>[1]Sheet1!$D$5:$D$17</c:f>
              <c:numCache>
                <c:formatCode>General</c:formatCode>
                <c:ptCount val="13"/>
                <c:pt idx="0">
                  <c:v>6.35</c:v>
                </c:pt>
                <c:pt idx="1">
                  <c:v>6.35</c:v>
                </c:pt>
                <c:pt idx="2">
                  <c:v>6.1520000000000001</c:v>
                </c:pt>
                <c:pt idx="3">
                  <c:v>5.9716000000000005</c:v>
                </c:pt>
                <c:pt idx="4">
                  <c:v>5.7652800000000006</c:v>
                </c:pt>
                <c:pt idx="5">
                  <c:v>5.6382240000000001</c:v>
                </c:pt>
                <c:pt idx="6">
                  <c:v>5.6365792000000008</c:v>
                </c:pt>
                <c:pt idx="7">
                  <c:v>5.5792633600000014</c:v>
                </c:pt>
                <c:pt idx="8">
                  <c:v>5.6134106880000019</c:v>
                </c:pt>
                <c:pt idx="9">
                  <c:v>5.5427285504000015</c:v>
                </c:pt>
                <c:pt idx="10">
                  <c:v>5.4861828403200015</c:v>
                </c:pt>
                <c:pt idx="11">
                  <c:v>5.4409462722560011</c:v>
                </c:pt>
                <c:pt idx="12">
                  <c:v>5.4047570178048012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05-4C93-9054-2C6C3CB1D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8998399"/>
        <c:axId val="1868998879"/>
      </c:lineChart>
      <c:catAx>
        <c:axId val="18689983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998879"/>
        <c:crosses val="autoZero"/>
        <c:auto val="1"/>
        <c:lblAlgn val="ctr"/>
        <c:lblOffset val="100"/>
        <c:noMultiLvlLbl val="0"/>
      </c:catAx>
      <c:valAx>
        <c:axId val="186899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99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'[2]sales-of-shampoo-over-a-three-y'!$B$5</c:f>
              <c:strCache>
                <c:ptCount val="1"/>
                <c:pt idx="0">
                  <c:v>Sales of shampoo over a three year period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'[2]sales-of-shampoo-over-a-three-y'!$B$6:$B$41</c:f>
              <c:numCache>
                <c:formatCode>General</c:formatCode>
                <c:ptCount val="36"/>
                <c:pt idx="0">
                  <c:v>266</c:v>
                </c:pt>
                <c:pt idx="1">
                  <c:v>145.9</c:v>
                </c:pt>
                <c:pt idx="2">
                  <c:v>183.1</c:v>
                </c:pt>
                <c:pt idx="3">
                  <c:v>119.3</c:v>
                </c:pt>
                <c:pt idx="4">
                  <c:v>180.3</c:v>
                </c:pt>
                <c:pt idx="5">
                  <c:v>168.5</c:v>
                </c:pt>
                <c:pt idx="6">
                  <c:v>231.8</c:v>
                </c:pt>
                <c:pt idx="7">
                  <c:v>224.5</c:v>
                </c:pt>
                <c:pt idx="8">
                  <c:v>192.8</c:v>
                </c:pt>
                <c:pt idx="9">
                  <c:v>122.9</c:v>
                </c:pt>
                <c:pt idx="10">
                  <c:v>336.5</c:v>
                </c:pt>
                <c:pt idx="11">
                  <c:v>185.9</c:v>
                </c:pt>
                <c:pt idx="12">
                  <c:v>194.3</c:v>
                </c:pt>
                <c:pt idx="13">
                  <c:v>149.5</c:v>
                </c:pt>
                <c:pt idx="14">
                  <c:v>210.1</c:v>
                </c:pt>
                <c:pt idx="15">
                  <c:v>273.3</c:v>
                </c:pt>
                <c:pt idx="16">
                  <c:v>191.4</c:v>
                </c:pt>
                <c:pt idx="17">
                  <c:v>287</c:v>
                </c:pt>
                <c:pt idx="18">
                  <c:v>226</c:v>
                </c:pt>
                <c:pt idx="19">
                  <c:v>303.60000000000002</c:v>
                </c:pt>
                <c:pt idx="20">
                  <c:v>289.89999999999998</c:v>
                </c:pt>
                <c:pt idx="21">
                  <c:v>421.6</c:v>
                </c:pt>
                <c:pt idx="22">
                  <c:v>264.5</c:v>
                </c:pt>
                <c:pt idx="23">
                  <c:v>342.3</c:v>
                </c:pt>
                <c:pt idx="24">
                  <c:v>339.7</c:v>
                </c:pt>
                <c:pt idx="25">
                  <c:v>440.4</c:v>
                </c:pt>
                <c:pt idx="26">
                  <c:v>315.89999999999998</c:v>
                </c:pt>
                <c:pt idx="27">
                  <c:v>439.3</c:v>
                </c:pt>
                <c:pt idx="28">
                  <c:v>401.3</c:v>
                </c:pt>
                <c:pt idx="29">
                  <c:v>437.4</c:v>
                </c:pt>
                <c:pt idx="30">
                  <c:v>575.5</c:v>
                </c:pt>
                <c:pt idx="31">
                  <c:v>407.6</c:v>
                </c:pt>
                <c:pt idx="32">
                  <c:v>682</c:v>
                </c:pt>
                <c:pt idx="33">
                  <c:v>475.3</c:v>
                </c:pt>
                <c:pt idx="34">
                  <c:v>581.29999999999995</c:v>
                </c:pt>
                <c:pt idx="35">
                  <c:v>646.9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2-4216-936F-04405D05E3AF}"/>
            </c:ext>
          </c:extLst>
        </c:ser>
        <c:ser>
          <c:idx val="1"/>
          <c:order val="1"/>
          <c:tx>
            <c:strRef>
              <c:f>'[2]sales-of-shampoo-over-a-three-y'!$F$5</c:f>
              <c:strCache>
                <c:ptCount val="1"/>
                <c:pt idx="0">
                  <c:v>Yt+1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'[2]sales-of-shampoo-over-a-three-y'!$F$6:$F$45</c:f>
              <c:numCache>
                <c:formatCode>General</c:formatCode>
                <c:ptCount val="40"/>
                <c:pt idx="2">
                  <c:v>145.9</c:v>
                </c:pt>
                <c:pt idx="3">
                  <c:v>67.463999999999999</c:v>
                </c:pt>
                <c:pt idx="4">
                  <c:v>21.044319999999999</c:v>
                </c:pt>
                <c:pt idx="5">
                  <c:v>116.70580159999997</c:v>
                </c:pt>
                <c:pt idx="6">
                  <c:v>158.897809408</c:v>
                </c:pt>
                <c:pt idx="7">
                  <c:v>246.48433179904001</c:v>
                </c:pt>
                <c:pt idx="8">
                  <c:v>258.4168691607552</c:v>
                </c:pt>
                <c:pt idx="9">
                  <c:v>212.2475453217526</c:v>
                </c:pt>
                <c:pt idx="10">
                  <c:v>111.94077913491572</c:v>
                </c:pt>
                <c:pt idx="11">
                  <c:v>325.6836220422</c:v>
                </c:pt>
                <c:pt idx="12">
                  <c:v>225.67735365666132</c:v>
                </c:pt>
                <c:pt idx="13">
                  <c:v>188.37698460520198</c:v>
                </c:pt>
                <c:pt idx="14">
                  <c:v>129.49854035557934</c:v>
                </c:pt>
                <c:pt idx="15">
                  <c:v>188.10762013134919</c:v>
                </c:pt>
                <c:pt idx="16">
                  <c:v>285.71114360891352</c:v>
                </c:pt>
                <c:pt idx="17">
                  <c:v>218.05152033643913</c:v>
                </c:pt>
                <c:pt idx="18">
                  <c:v>293.63199481339234</c:v>
                </c:pt>
                <c:pt idx="19">
                  <c:v>245.20069933485357</c:v>
                </c:pt>
                <c:pt idx="20">
                  <c:v>309.51901697065347</c:v>
                </c:pt>
                <c:pt idx="21">
                  <c:v>310.98452513371899</c:v>
                </c:pt>
                <c:pt idx="22">
                  <c:v>450.0726770264767</c:v>
                </c:pt>
                <c:pt idx="23">
                  <c:v>303.88859824318376</c:v>
                </c:pt>
                <c:pt idx="24">
                  <c:v>330.62616334605872</c:v>
                </c:pt>
                <c:pt idx="25">
                  <c:v>340.63844427157653</c:v>
                </c:pt>
                <c:pt idx="26">
                  <c:v>456.03198195516973</c:v>
                </c:pt>
                <c:pt idx="27">
                  <c:v>344.64461083907645</c:v>
                </c:pt>
                <c:pt idx="28">
                  <c:v>437.36366295183637</c:v>
                </c:pt>
                <c:pt idx="29">
                  <c:v>423.432640145893</c:v>
                </c:pt>
                <c:pt idx="30">
                  <c:v>450.38962444283493</c:v>
                </c:pt>
                <c:pt idx="31">
                  <c:v>607.69307746592676</c:v>
                </c:pt>
                <c:pt idx="32">
                  <c:v>453.31502083716515</c:v>
                </c:pt>
                <c:pt idx="33">
                  <c:v>695.12929509692731</c:v>
                </c:pt>
                <c:pt idx="34">
                  <c:v>530.65527343414647</c:v>
                </c:pt>
                <c:pt idx="35">
                  <c:v>576.78385209297085</c:v>
                </c:pt>
                <c:pt idx="36">
                  <c:v>665.99120781157023</c:v>
                </c:pt>
                <c:pt idx="37">
                  <c:v>706.11725999524936</c:v>
                </c:pt>
                <c:pt idx="38">
                  <c:v>746.24331217892836</c:v>
                </c:pt>
                <c:pt idx="39">
                  <c:v>786.36936436260748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C2-4216-936F-04405D05E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946496"/>
        <c:axId val="1112937856"/>
      </c:lineChart>
      <c:catAx>
        <c:axId val="1112946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937856"/>
        <c:crosses val="autoZero"/>
        <c:auto val="1"/>
        <c:lblAlgn val="ctr"/>
        <c:lblOffset val="100"/>
        <c:noMultiLvlLbl val="0"/>
      </c:catAx>
      <c:valAx>
        <c:axId val="111293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94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840445635361977E-2"/>
          <c:y val="0.1274579445049111"/>
          <c:w val="0.89019685039370078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'[2]sales-of-shampoo-over-a-three-y'!$B$5</c:f>
              <c:strCache>
                <c:ptCount val="1"/>
                <c:pt idx="0">
                  <c:v>Sales of shampoo over a three year period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'[2]sales-of-shampoo-over-a-three-y'!$B$6:$B$41</c:f>
              <c:numCache>
                <c:formatCode>General</c:formatCode>
                <c:ptCount val="36"/>
                <c:pt idx="0">
                  <c:v>266</c:v>
                </c:pt>
                <c:pt idx="1">
                  <c:v>145.9</c:v>
                </c:pt>
                <c:pt idx="2">
                  <c:v>183.1</c:v>
                </c:pt>
                <c:pt idx="3">
                  <c:v>119.3</c:v>
                </c:pt>
                <c:pt idx="4">
                  <c:v>180.3</c:v>
                </c:pt>
                <c:pt idx="5">
                  <c:v>168.5</c:v>
                </c:pt>
                <c:pt idx="6">
                  <c:v>231.8</c:v>
                </c:pt>
                <c:pt idx="7">
                  <c:v>224.5</c:v>
                </c:pt>
                <c:pt idx="8">
                  <c:v>192.8</c:v>
                </c:pt>
                <c:pt idx="9">
                  <c:v>122.9</c:v>
                </c:pt>
                <c:pt idx="10">
                  <c:v>336.5</c:v>
                </c:pt>
                <c:pt idx="11">
                  <c:v>185.9</c:v>
                </c:pt>
                <c:pt idx="12">
                  <c:v>194.3</c:v>
                </c:pt>
                <c:pt idx="13">
                  <c:v>149.5</c:v>
                </c:pt>
                <c:pt idx="14">
                  <c:v>210.1</c:v>
                </c:pt>
                <c:pt idx="15">
                  <c:v>273.3</c:v>
                </c:pt>
                <c:pt idx="16">
                  <c:v>191.4</c:v>
                </c:pt>
                <c:pt idx="17">
                  <c:v>287</c:v>
                </c:pt>
                <c:pt idx="18">
                  <c:v>226</c:v>
                </c:pt>
                <c:pt idx="19">
                  <c:v>303.60000000000002</c:v>
                </c:pt>
                <c:pt idx="20">
                  <c:v>289.89999999999998</c:v>
                </c:pt>
                <c:pt idx="21">
                  <c:v>421.6</c:v>
                </c:pt>
                <c:pt idx="22">
                  <c:v>264.5</c:v>
                </c:pt>
                <c:pt idx="23">
                  <c:v>342.3</c:v>
                </c:pt>
                <c:pt idx="24">
                  <c:v>339.7</c:v>
                </c:pt>
                <c:pt idx="25">
                  <c:v>440.4</c:v>
                </c:pt>
                <c:pt idx="26">
                  <c:v>315.89999999999998</c:v>
                </c:pt>
                <c:pt idx="27">
                  <c:v>439.3</c:v>
                </c:pt>
                <c:pt idx="28">
                  <c:v>401.3</c:v>
                </c:pt>
                <c:pt idx="29">
                  <c:v>437.4</c:v>
                </c:pt>
                <c:pt idx="30">
                  <c:v>575.5</c:v>
                </c:pt>
                <c:pt idx="31">
                  <c:v>407.6</c:v>
                </c:pt>
                <c:pt idx="32">
                  <c:v>682</c:v>
                </c:pt>
                <c:pt idx="33">
                  <c:v>475.3</c:v>
                </c:pt>
                <c:pt idx="34">
                  <c:v>581.29999999999995</c:v>
                </c:pt>
                <c:pt idx="35">
                  <c:v>646.9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06-4B1E-9787-F90A6B6F3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452752"/>
        <c:axId val="1135453232"/>
      </c:lineChart>
      <c:catAx>
        <c:axId val="1135452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453232"/>
        <c:crosses val="autoZero"/>
        <c:auto val="1"/>
        <c:lblAlgn val="ctr"/>
        <c:lblOffset val="100"/>
        <c:noMultiLvlLbl val="0"/>
      </c:catAx>
      <c:valAx>
        <c:axId val="11354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45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'[3]airline-passengers'!$B$5</c:f>
              <c:strCache>
                <c:ptCount val="1"/>
                <c:pt idx="0">
                  <c:v>Passengers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'[3]airline-passengers'!$A$6:$A$155</c:f>
              <c:strCache>
                <c:ptCount val="150"/>
                <c:pt idx="0">
                  <c:v>1949-01</c:v>
                </c:pt>
                <c:pt idx="1">
                  <c:v>1949-02</c:v>
                </c:pt>
                <c:pt idx="2">
                  <c:v>1949-03</c:v>
                </c:pt>
                <c:pt idx="3">
                  <c:v>1949-04</c:v>
                </c:pt>
                <c:pt idx="4">
                  <c:v>1949-05</c:v>
                </c:pt>
                <c:pt idx="5">
                  <c:v>1949-06</c:v>
                </c:pt>
                <c:pt idx="6">
                  <c:v>1949-07</c:v>
                </c:pt>
                <c:pt idx="7">
                  <c:v>1949-08</c:v>
                </c:pt>
                <c:pt idx="8">
                  <c:v>1949-09</c:v>
                </c:pt>
                <c:pt idx="9">
                  <c:v>1949-10</c:v>
                </c:pt>
                <c:pt idx="10">
                  <c:v>1949-11</c:v>
                </c:pt>
                <c:pt idx="11">
                  <c:v>1949-12</c:v>
                </c:pt>
                <c:pt idx="12">
                  <c:v>1950-01</c:v>
                </c:pt>
                <c:pt idx="13">
                  <c:v>1950-02</c:v>
                </c:pt>
                <c:pt idx="14">
                  <c:v>1950-03</c:v>
                </c:pt>
                <c:pt idx="15">
                  <c:v>1950-04</c:v>
                </c:pt>
                <c:pt idx="16">
                  <c:v>1950-05</c:v>
                </c:pt>
                <c:pt idx="17">
                  <c:v>1950-06</c:v>
                </c:pt>
                <c:pt idx="18">
                  <c:v>1950-07</c:v>
                </c:pt>
                <c:pt idx="19">
                  <c:v>1950-08</c:v>
                </c:pt>
                <c:pt idx="20">
                  <c:v>1950-09</c:v>
                </c:pt>
                <c:pt idx="21">
                  <c:v>1950-10</c:v>
                </c:pt>
                <c:pt idx="22">
                  <c:v>1950-11</c:v>
                </c:pt>
                <c:pt idx="23">
                  <c:v>1950-12</c:v>
                </c:pt>
                <c:pt idx="24">
                  <c:v>1951-01</c:v>
                </c:pt>
                <c:pt idx="25">
                  <c:v>1951-02</c:v>
                </c:pt>
                <c:pt idx="26">
                  <c:v>1951-03</c:v>
                </c:pt>
                <c:pt idx="27">
                  <c:v>1951-04</c:v>
                </c:pt>
                <c:pt idx="28">
                  <c:v>1951-05</c:v>
                </c:pt>
                <c:pt idx="29">
                  <c:v>1951-06</c:v>
                </c:pt>
                <c:pt idx="30">
                  <c:v>1951-07</c:v>
                </c:pt>
                <c:pt idx="31">
                  <c:v>1951-08</c:v>
                </c:pt>
                <c:pt idx="32">
                  <c:v>1951-09</c:v>
                </c:pt>
                <c:pt idx="33">
                  <c:v>1951-10</c:v>
                </c:pt>
                <c:pt idx="34">
                  <c:v>1951-11</c:v>
                </c:pt>
                <c:pt idx="35">
                  <c:v>1951-12</c:v>
                </c:pt>
                <c:pt idx="36">
                  <c:v>1952-01</c:v>
                </c:pt>
                <c:pt idx="37">
                  <c:v>1952-02</c:v>
                </c:pt>
                <c:pt idx="38">
                  <c:v>1952-03</c:v>
                </c:pt>
                <c:pt idx="39">
                  <c:v>1952-04</c:v>
                </c:pt>
                <c:pt idx="40">
                  <c:v>1952-05</c:v>
                </c:pt>
                <c:pt idx="41">
                  <c:v>1952-06</c:v>
                </c:pt>
                <c:pt idx="42">
                  <c:v>1952-07</c:v>
                </c:pt>
                <c:pt idx="43">
                  <c:v>1952-08</c:v>
                </c:pt>
                <c:pt idx="44">
                  <c:v>1952-09</c:v>
                </c:pt>
                <c:pt idx="45">
                  <c:v>1952-10</c:v>
                </c:pt>
                <c:pt idx="46">
                  <c:v>1952-11</c:v>
                </c:pt>
                <c:pt idx="47">
                  <c:v>1952-12</c:v>
                </c:pt>
                <c:pt idx="48">
                  <c:v>1953-01</c:v>
                </c:pt>
                <c:pt idx="49">
                  <c:v>1953-02</c:v>
                </c:pt>
                <c:pt idx="50">
                  <c:v>1953-03</c:v>
                </c:pt>
                <c:pt idx="51">
                  <c:v>1953-04</c:v>
                </c:pt>
                <c:pt idx="52">
                  <c:v>1953-05</c:v>
                </c:pt>
                <c:pt idx="53">
                  <c:v>1953-06</c:v>
                </c:pt>
                <c:pt idx="54">
                  <c:v>1953-07</c:v>
                </c:pt>
                <c:pt idx="55">
                  <c:v>1953-08</c:v>
                </c:pt>
                <c:pt idx="56">
                  <c:v>1953-09</c:v>
                </c:pt>
                <c:pt idx="57">
                  <c:v>1953-10</c:v>
                </c:pt>
                <c:pt idx="58">
                  <c:v>1953-11</c:v>
                </c:pt>
                <c:pt idx="59">
                  <c:v>1953-12</c:v>
                </c:pt>
                <c:pt idx="60">
                  <c:v>1954-01</c:v>
                </c:pt>
                <c:pt idx="61">
                  <c:v>1954-02</c:v>
                </c:pt>
                <c:pt idx="62">
                  <c:v>1954-03</c:v>
                </c:pt>
                <c:pt idx="63">
                  <c:v>1954-04</c:v>
                </c:pt>
                <c:pt idx="64">
                  <c:v>1954-05</c:v>
                </c:pt>
                <c:pt idx="65">
                  <c:v>1954-06</c:v>
                </c:pt>
                <c:pt idx="66">
                  <c:v>1954-07</c:v>
                </c:pt>
                <c:pt idx="67">
                  <c:v>1954-08</c:v>
                </c:pt>
                <c:pt idx="68">
                  <c:v>1954-09</c:v>
                </c:pt>
                <c:pt idx="69">
                  <c:v>1954-10</c:v>
                </c:pt>
                <c:pt idx="70">
                  <c:v>1954-11</c:v>
                </c:pt>
                <c:pt idx="71">
                  <c:v>1954-12</c:v>
                </c:pt>
                <c:pt idx="72">
                  <c:v>1955-01</c:v>
                </c:pt>
                <c:pt idx="73">
                  <c:v>1955-02</c:v>
                </c:pt>
                <c:pt idx="74">
                  <c:v>1955-03</c:v>
                </c:pt>
                <c:pt idx="75">
                  <c:v>1955-04</c:v>
                </c:pt>
                <c:pt idx="76">
                  <c:v>1955-05</c:v>
                </c:pt>
                <c:pt idx="77">
                  <c:v>1955-06</c:v>
                </c:pt>
                <c:pt idx="78">
                  <c:v>1955-07</c:v>
                </c:pt>
                <c:pt idx="79">
                  <c:v>1955-08</c:v>
                </c:pt>
                <c:pt idx="80">
                  <c:v>1955-09</c:v>
                </c:pt>
                <c:pt idx="81">
                  <c:v>1955-10</c:v>
                </c:pt>
                <c:pt idx="82">
                  <c:v>1955-11</c:v>
                </c:pt>
                <c:pt idx="83">
                  <c:v>1955-12</c:v>
                </c:pt>
                <c:pt idx="84">
                  <c:v>1956-01</c:v>
                </c:pt>
                <c:pt idx="85">
                  <c:v>1956-02</c:v>
                </c:pt>
                <c:pt idx="86">
                  <c:v>1956-03</c:v>
                </c:pt>
                <c:pt idx="87">
                  <c:v>1956-04</c:v>
                </c:pt>
                <c:pt idx="88">
                  <c:v>1956-05</c:v>
                </c:pt>
                <c:pt idx="89">
                  <c:v>1956-06</c:v>
                </c:pt>
                <c:pt idx="90">
                  <c:v>1956-07</c:v>
                </c:pt>
                <c:pt idx="91">
                  <c:v>1956-08</c:v>
                </c:pt>
                <c:pt idx="92">
                  <c:v>1956-09</c:v>
                </c:pt>
                <c:pt idx="93">
                  <c:v>1956-10</c:v>
                </c:pt>
                <c:pt idx="94">
                  <c:v>1956-11</c:v>
                </c:pt>
                <c:pt idx="95">
                  <c:v>1956-12</c:v>
                </c:pt>
                <c:pt idx="96">
                  <c:v>1957-01</c:v>
                </c:pt>
                <c:pt idx="97">
                  <c:v>1957-02</c:v>
                </c:pt>
                <c:pt idx="98">
                  <c:v>1957-03</c:v>
                </c:pt>
                <c:pt idx="99">
                  <c:v>1957-04</c:v>
                </c:pt>
                <c:pt idx="100">
                  <c:v>1957-05</c:v>
                </c:pt>
                <c:pt idx="101">
                  <c:v>1957-06</c:v>
                </c:pt>
                <c:pt idx="102">
                  <c:v>1957-07</c:v>
                </c:pt>
                <c:pt idx="103">
                  <c:v>1957-08</c:v>
                </c:pt>
                <c:pt idx="104">
                  <c:v>1957-09</c:v>
                </c:pt>
                <c:pt idx="105">
                  <c:v>1957-10</c:v>
                </c:pt>
                <c:pt idx="106">
                  <c:v>1957-11</c:v>
                </c:pt>
                <c:pt idx="107">
                  <c:v>1957-12</c:v>
                </c:pt>
                <c:pt idx="108">
                  <c:v>1958-01</c:v>
                </c:pt>
                <c:pt idx="109">
                  <c:v>1958-02</c:v>
                </c:pt>
                <c:pt idx="110">
                  <c:v>1958-03</c:v>
                </c:pt>
                <c:pt idx="111">
                  <c:v>1958-04</c:v>
                </c:pt>
                <c:pt idx="112">
                  <c:v>1958-05</c:v>
                </c:pt>
                <c:pt idx="113">
                  <c:v>1958-06</c:v>
                </c:pt>
                <c:pt idx="114">
                  <c:v>1958-07</c:v>
                </c:pt>
                <c:pt idx="115">
                  <c:v>1958-08</c:v>
                </c:pt>
                <c:pt idx="116">
                  <c:v>1958-09</c:v>
                </c:pt>
                <c:pt idx="117">
                  <c:v>1958-10</c:v>
                </c:pt>
                <c:pt idx="118">
                  <c:v>1958-11</c:v>
                </c:pt>
                <c:pt idx="119">
                  <c:v>1958-12</c:v>
                </c:pt>
                <c:pt idx="120">
                  <c:v>1959-01</c:v>
                </c:pt>
                <c:pt idx="121">
                  <c:v>1959-02</c:v>
                </c:pt>
                <c:pt idx="122">
                  <c:v>1959-03</c:v>
                </c:pt>
                <c:pt idx="123">
                  <c:v>1959-04</c:v>
                </c:pt>
                <c:pt idx="124">
                  <c:v>1959-05</c:v>
                </c:pt>
                <c:pt idx="125">
                  <c:v>1959-06</c:v>
                </c:pt>
                <c:pt idx="126">
                  <c:v>1959-07</c:v>
                </c:pt>
                <c:pt idx="127">
                  <c:v>1959-08</c:v>
                </c:pt>
                <c:pt idx="128">
                  <c:v>1959-09</c:v>
                </c:pt>
                <c:pt idx="129">
                  <c:v>1959-10</c:v>
                </c:pt>
                <c:pt idx="130">
                  <c:v>1959-11</c:v>
                </c:pt>
                <c:pt idx="131">
                  <c:v>1959-12</c:v>
                </c:pt>
                <c:pt idx="132">
                  <c:v>1960-01</c:v>
                </c:pt>
                <c:pt idx="133">
                  <c:v>1960-02</c:v>
                </c:pt>
                <c:pt idx="134">
                  <c:v>1960-03</c:v>
                </c:pt>
                <c:pt idx="135">
                  <c:v>1960-04</c:v>
                </c:pt>
                <c:pt idx="136">
                  <c:v>1960-05</c:v>
                </c:pt>
                <c:pt idx="137">
                  <c:v>1960-06</c:v>
                </c:pt>
                <c:pt idx="138">
                  <c:v>1960-07</c:v>
                </c:pt>
                <c:pt idx="139">
                  <c:v>1960-08</c:v>
                </c:pt>
                <c:pt idx="140">
                  <c:v>1960-09</c:v>
                </c:pt>
                <c:pt idx="141">
                  <c:v>1960-10</c:v>
                </c:pt>
                <c:pt idx="142">
                  <c:v>1960-11</c:v>
                </c:pt>
                <c:pt idx="143">
                  <c:v>1960-12</c:v>
                </c:pt>
                <c:pt idx="144">
                  <c:v>1961-01</c:v>
                </c:pt>
                <c:pt idx="145">
                  <c:v>1961-02</c:v>
                </c:pt>
                <c:pt idx="146">
                  <c:v>1961-03</c:v>
                </c:pt>
                <c:pt idx="147">
                  <c:v>1961-04</c:v>
                </c:pt>
                <c:pt idx="148">
                  <c:v>1961-05</c:v>
                </c:pt>
                <c:pt idx="149">
                  <c:v>1961-06</c:v>
                </c:pt>
              </c:strCache>
            </c:strRef>
          </c:cat>
          <c:val>
            <c:numRef>
              <c:f>'[3]airline-passengers'!$B$6:$B$155</c:f>
              <c:numCache>
                <c:formatCode>General</c:formatCode>
                <c:ptCount val="150"/>
                <c:pt idx="0">
                  <c:v>112</c:v>
                </c:pt>
                <c:pt idx="1">
                  <c:v>118</c:v>
                </c:pt>
                <c:pt idx="2">
                  <c:v>132</c:v>
                </c:pt>
                <c:pt idx="3">
                  <c:v>129</c:v>
                </c:pt>
                <c:pt idx="4">
                  <c:v>121</c:v>
                </c:pt>
                <c:pt idx="5">
                  <c:v>135</c:v>
                </c:pt>
                <c:pt idx="6">
                  <c:v>148</c:v>
                </c:pt>
                <c:pt idx="7">
                  <c:v>148</c:v>
                </c:pt>
                <c:pt idx="8">
                  <c:v>136</c:v>
                </c:pt>
                <c:pt idx="9">
                  <c:v>119</c:v>
                </c:pt>
                <c:pt idx="10">
                  <c:v>104</c:v>
                </c:pt>
                <c:pt idx="11">
                  <c:v>118</c:v>
                </c:pt>
                <c:pt idx="12">
                  <c:v>115</c:v>
                </c:pt>
                <c:pt idx="13">
                  <c:v>126</c:v>
                </c:pt>
                <c:pt idx="14">
                  <c:v>141</c:v>
                </c:pt>
                <c:pt idx="15">
                  <c:v>135</c:v>
                </c:pt>
                <c:pt idx="16">
                  <c:v>125</c:v>
                </c:pt>
                <c:pt idx="17">
                  <c:v>149</c:v>
                </c:pt>
                <c:pt idx="18">
                  <c:v>170</c:v>
                </c:pt>
                <c:pt idx="19">
                  <c:v>170</c:v>
                </c:pt>
                <c:pt idx="20">
                  <c:v>158</c:v>
                </c:pt>
                <c:pt idx="21">
                  <c:v>133</c:v>
                </c:pt>
                <c:pt idx="22">
                  <c:v>114</c:v>
                </c:pt>
                <c:pt idx="23">
                  <c:v>140</c:v>
                </c:pt>
                <c:pt idx="24">
                  <c:v>145</c:v>
                </c:pt>
                <c:pt idx="25">
                  <c:v>150</c:v>
                </c:pt>
                <c:pt idx="26">
                  <c:v>178</c:v>
                </c:pt>
                <c:pt idx="27">
                  <c:v>163</c:v>
                </c:pt>
                <c:pt idx="28">
                  <c:v>172</c:v>
                </c:pt>
                <c:pt idx="29">
                  <c:v>178</c:v>
                </c:pt>
                <c:pt idx="30">
                  <c:v>199</c:v>
                </c:pt>
                <c:pt idx="31">
                  <c:v>199</c:v>
                </c:pt>
                <c:pt idx="32">
                  <c:v>184</c:v>
                </c:pt>
                <c:pt idx="33">
                  <c:v>162</c:v>
                </c:pt>
                <c:pt idx="34">
                  <c:v>146</c:v>
                </c:pt>
                <c:pt idx="35">
                  <c:v>166</c:v>
                </c:pt>
                <c:pt idx="36">
                  <c:v>171</c:v>
                </c:pt>
                <c:pt idx="37">
                  <c:v>180</c:v>
                </c:pt>
                <c:pt idx="38">
                  <c:v>193</c:v>
                </c:pt>
                <c:pt idx="39">
                  <c:v>181</c:v>
                </c:pt>
                <c:pt idx="40">
                  <c:v>183</c:v>
                </c:pt>
                <c:pt idx="41">
                  <c:v>218</c:v>
                </c:pt>
                <c:pt idx="42">
                  <c:v>230</c:v>
                </c:pt>
                <c:pt idx="43">
                  <c:v>242</c:v>
                </c:pt>
                <c:pt idx="44">
                  <c:v>209</c:v>
                </c:pt>
                <c:pt idx="45">
                  <c:v>191</c:v>
                </c:pt>
                <c:pt idx="46">
                  <c:v>172</c:v>
                </c:pt>
                <c:pt idx="47">
                  <c:v>194</c:v>
                </c:pt>
                <c:pt idx="48">
                  <c:v>196</c:v>
                </c:pt>
                <c:pt idx="49">
                  <c:v>196</c:v>
                </c:pt>
                <c:pt idx="50">
                  <c:v>236</c:v>
                </c:pt>
                <c:pt idx="51">
                  <c:v>235</c:v>
                </c:pt>
                <c:pt idx="52">
                  <c:v>229</c:v>
                </c:pt>
                <c:pt idx="53">
                  <c:v>243</c:v>
                </c:pt>
                <c:pt idx="54">
                  <c:v>264</c:v>
                </c:pt>
                <c:pt idx="55">
                  <c:v>272</c:v>
                </c:pt>
                <c:pt idx="56">
                  <c:v>237</c:v>
                </c:pt>
                <c:pt idx="57">
                  <c:v>211</c:v>
                </c:pt>
                <c:pt idx="58">
                  <c:v>180</c:v>
                </c:pt>
                <c:pt idx="59">
                  <c:v>201</c:v>
                </c:pt>
                <c:pt idx="60">
                  <c:v>204</c:v>
                </c:pt>
                <c:pt idx="61">
                  <c:v>188</c:v>
                </c:pt>
                <c:pt idx="62">
                  <c:v>235</c:v>
                </c:pt>
                <c:pt idx="63">
                  <c:v>227</c:v>
                </c:pt>
                <c:pt idx="64">
                  <c:v>234</c:v>
                </c:pt>
                <c:pt idx="65">
                  <c:v>264</c:v>
                </c:pt>
                <c:pt idx="66">
                  <c:v>302</c:v>
                </c:pt>
                <c:pt idx="67">
                  <c:v>293</c:v>
                </c:pt>
                <c:pt idx="68">
                  <c:v>259</c:v>
                </c:pt>
                <c:pt idx="69">
                  <c:v>229</c:v>
                </c:pt>
                <c:pt idx="70">
                  <c:v>203</c:v>
                </c:pt>
                <c:pt idx="71">
                  <c:v>229</c:v>
                </c:pt>
                <c:pt idx="72">
                  <c:v>242</c:v>
                </c:pt>
                <c:pt idx="73">
                  <c:v>233</c:v>
                </c:pt>
                <c:pt idx="74">
                  <c:v>267</c:v>
                </c:pt>
                <c:pt idx="75">
                  <c:v>269</c:v>
                </c:pt>
                <c:pt idx="76">
                  <c:v>270</c:v>
                </c:pt>
                <c:pt idx="77">
                  <c:v>315</c:v>
                </c:pt>
                <c:pt idx="78">
                  <c:v>364</c:v>
                </c:pt>
                <c:pt idx="79">
                  <c:v>347</c:v>
                </c:pt>
                <c:pt idx="80">
                  <c:v>312</c:v>
                </c:pt>
                <c:pt idx="81">
                  <c:v>274</c:v>
                </c:pt>
                <c:pt idx="82">
                  <c:v>237</c:v>
                </c:pt>
                <c:pt idx="83">
                  <c:v>278</c:v>
                </c:pt>
                <c:pt idx="84">
                  <c:v>284</c:v>
                </c:pt>
                <c:pt idx="85">
                  <c:v>277</c:v>
                </c:pt>
                <c:pt idx="86">
                  <c:v>317</c:v>
                </c:pt>
                <c:pt idx="87">
                  <c:v>313</c:v>
                </c:pt>
                <c:pt idx="88">
                  <c:v>318</c:v>
                </c:pt>
                <c:pt idx="89">
                  <c:v>374</c:v>
                </c:pt>
                <c:pt idx="90">
                  <c:v>413</c:v>
                </c:pt>
                <c:pt idx="91">
                  <c:v>405</c:v>
                </c:pt>
                <c:pt idx="92">
                  <c:v>355</c:v>
                </c:pt>
                <c:pt idx="93">
                  <c:v>306</c:v>
                </c:pt>
                <c:pt idx="94">
                  <c:v>271</c:v>
                </c:pt>
                <c:pt idx="95">
                  <c:v>306</c:v>
                </c:pt>
                <c:pt idx="96">
                  <c:v>315</c:v>
                </c:pt>
                <c:pt idx="97">
                  <c:v>301</c:v>
                </c:pt>
                <c:pt idx="98">
                  <c:v>356</c:v>
                </c:pt>
                <c:pt idx="99">
                  <c:v>348</c:v>
                </c:pt>
                <c:pt idx="100">
                  <c:v>355</c:v>
                </c:pt>
                <c:pt idx="101">
                  <c:v>422</c:v>
                </c:pt>
                <c:pt idx="102">
                  <c:v>465</c:v>
                </c:pt>
                <c:pt idx="103">
                  <c:v>467</c:v>
                </c:pt>
                <c:pt idx="104">
                  <c:v>404</c:v>
                </c:pt>
                <c:pt idx="105">
                  <c:v>347</c:v>
                </c:pt>
                <c:pt idx="106">
                  <c:v>305</c:v>
                </c:pt>
                <c:pt idx="107">
                  <c:v>336</c:v>
                </c:pt>
                <c:pt idx="108">
                  <c:v>340</c:v>
                </c:pt>
                <c:pt idx="109">
                  <c:v>318</c:v>
                </c:pt>
                <c:pt idx="110">
                  <c:v>362</c:v>
                </c:pt>
                <c:pt idx="111">
                  <c:v>348</c:v>
                </c:pt>
                <c:pt idx="112">
                  <c:v>363</c:v>
                </c:pt>
                <c:pt idx="113">
                  <c:v>435</c:v>
                </c:pt>
                <c:pt idx="114">
                  <c:v>491</c:v>
                </c:pt>
                <c:pt idx="115">
                  <c:v>505</c:v>
                </c:pt>
                <c:pt idx="116">
                  <c:v>404</c:v>
                </c:pt>
                <c:pt idx="117">
                  <c:v>359</c:v>
                </c:pt>
                <c:pt idx="118">
                  <c:v>310</c:v>
                </c:pt>
                <c:pt idx="119">
                  <c:v>337</c:v>
                </c:pt>
                <c:pt idx="120">
                  <c:v>360</c:v>
                </c:pt>
                <c:pt idx="121">
                  <c:v>342</c:v>
                </c:pt>
                <c:pt idx="122">
                  <c:v>406</c:v>
                </c:pt>
                <c:pt idx="123">
                  <c:v>396</c:v>
                </c:pt>
                <c:pt idx="124">
                  <c:v>420</c:v>
                </c:pt>
                <c:pt idx="125">
                  <c:v>472</c:v>
                </c:pt>
                <c:pt idx="126">
                  <c:v>548</c:v>
                </c:pt>
                <c:pt idx="127">
                  <c:v>559</c:v>
                </c:pt>
                <c:pt idx="128">
                  <c:v>463</c:v>
                </c:pt>
                <c:pt idx="129">
                  <c:v>407</c:v>
                </c:pt>
                <c:pt idx="130">
                  <c:v>362</c:v>
                </c:pt>
                <c:pt idx="131">
                  <c:v>405</c:v>
                </c:pt>
                <c:pt idx="132">
                  <c:v>417</c:v>
                </c:pt>
                <c:pt idx="133">
                  <c:v>391</c:v>
                </c:pt>
                <c:pt idx="134">
                  <c:v>419</c:v>
                </c:pt>
                <c:pt idx="135">
                  <c:v>461</c:v>
                </c:pt>
                <c:pt idx="136">
                  <c:v>472</c:v>
                </c:pt>
                <c:pt idx="137">
                  <c:v>535</c:v>
                </c:pt>
                <c:pt idx="138">
                  <c:v>622</c:v>
                </c:pt>
                <c:pt idx="139">
                  <c:v>606</c:v>
                </c:pt>
                <c:pt idx="140">
                  <c:v>508</c:v>
                </c:pt>
                <c:pt idx="141">
                  <c:v>461</c:v>
                </c:pt>
                <c:pt idx="142">
                  <c:v>390</c:v>
                </c:pt>
                <c:pt idx="143">
                  <c:v>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23-49A0-9F75-730E7FD81B6A}"/>
            </c:ext>
          </c:extLst>
        </c:ser>
        <c:ser>
          <c:idx val="1"/>
          <c:order val="1"/>
          <c:tx>
            <c:strRef>
              <c:f>'[3]airline-passengers'!$F$5</c:f>
              <c:strCache>
                <c:ptCount val="1"/>
                <c:pt idx="0">
                  <c:v>Yt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'[3]airline-passengers'!$A$6:$A$155</c:f>
              <c:strCache>
                <c:ptCount val="150"/>
                <c:pt idx="0">
                  <c:v>1949-01</c:v>
                </c:pt>
                <c:pt idx="1">
                  <c:v>1949-02</c:v>
                </c:pt>
                <c:pt idx="2">
                  <c:v>1949-03</c:v>
                </c:pt>
                <c:pt idx="3">
                  <c:v>1949-04</c:v>
                </c:pt>
                <c:pt idx="4">
                  <c:v>1949-05</c:v>
                </c:pt>
                <c:pt idx="5">
                  <c:v>1949-06</c:v>
                </c:pt>
                <c:pt idx="6">
                  <c:v>1949-07</c:v>
                </c:pt>
                <c:pt idx="7">
                  <c:v>1949-08</c:v>
                </c:pt>
                <c:pt idx="8">
                  <c:v>1949-09</c:v>
                </c:pt>
                <c:pt idx="9">
                  <c:v>1949-10</c:v>
                </c:pt>
                <c:pt idx="10">
                  <c:v>1949-11</c:v>
                </c:pt>
                <c:pt idx="11">
                  <c:v>1949-12</c:v>
                </c:pt>
                <c:pt idx="12">
                  <c:v>1950-01</c:v>
                </c:pt>
                <c:pt idx="13">
                  <c:v>1950-02</c:v>
                </c:pt>
                <c:pt idx="14">
                  <c:v>1950-03</c:v>
                </c:pt>
                <c:pt idx="15">
                  <c:v>1950-04</c:v>
                </c:pt>
                <c:pt idx="16">
                  <c:v>1950-05</c:v>
                </c:pt>
                <c:pt idx="17">
                  <c:v>1950-06</c:v>
                </c:pt>
                <c:pt idx="18">
                  <c:v>1950-07</c:v>
                </c:pt>
                <c:pt idx="19">
                  <c:v>1950-08</c:v>
                </c:pt>
                <c:pt idx="20">
                  <c:v>1950-09</c:v>
                </c:pt>
                <c:pt idx="21">
                  <c:v>1950-10</c:v>
                </c:pt>
                <c:pt idx="22">
                  <c:v>1950-11</c:v>
                </c:pt>
                <c:pt idx="23">
                  <c:v>1950-12</c:v>
                </c:pt>
                <c:pt idx="24">
                  <c:v>1951-01</c:v>
                </c:pt>
                <c:pt idx="25">
                  <c:v>1951-02</c:v>
                </c:pt>
                <c:pt idx="26">
                  <c:v>1951-03</c:v>
                </c:pt>
                <c:pt idx="27">
                  <c:v>1951-04</c:v>
                </c:pt>
                <c:pt idx="28">
                  <c:v>1951-05</c:v>
                </c:pt>
                <c:pt idx="29">
                  <c:v>1951-06</c:v>
                </c:pt>
                <c:pt idx="30">
                  <c:v>1951-07</c:v>
                </c:pt>
                <c:pt idx="31">
                  <c:v>1951-08</c:v>
                </c:pt>
                <c:pt idx="32">
                  <c:v>1951-09</c:v>
                </c:pt>
                <c:pt idx="33">
                  <c:v>1951-10</c:v>
                </c:pt>
                <c:pt idx="34">
                  <c:v>1951-11</c:v>
                </c:pt>
                <c:pt idx="35">
                  <c:v>1951-12</c:v>
                </c:pt>
                <c:pt idx="36">
                  <c:v>1952-01</c:v>
                </c:pt>
                <c:pt idx="37">
                  <c:v>1952-02</c:v>
                </c:pt>
                <c:pt idx="38">
                  <c:v>1952-03</c:v>
                </c:pt>
                <c:pt idx="39">
                  <c:v>1952-04</c:v>
                </c:pt>
                <c:pt idx="40">
                  <c:v>1952-05</c:v>
                </c:pt>
                <c:pt idx="41">
                  <c:v>1952-06</c:v>
                </c:pt>
                <c:pt idx="42">
                  <c:v>1952-07</c:v>
                </c:pt>
                <c:pt idx="43">
                  <c:v>1952-08</c:v>
                </c:pt>
                <c:pt idx="44">
                  <c:v>1952-09</c:v>
                </c:pt>
                <c:pt idx="45">
                  <c:v>1952-10</c:v>
                </c:pt>
                <c:pt idx="46">
                  <c:v>1952-11</c:v>
                </c:pt>
                <c:pt idx="47">
                  <c:v>1952-12</c:v>
                </c:pt>
                <c:pt idx="48">
                  <c:v>1953-01</c:v>
                </c:pt>
                <c:pt idx="49">
                  <c:v>1953-02</c:v>
                </c:pt>
                <c:pt idx="50">
                  <c:v>1953-03</c:v>
                </c:pt>
                <c:pt idx="51">
                  <c:v>1953-04</c:v>
                </c:pt>
                <c:pt idx="52">
                  <c:v>1953-05</c:v>
                </c:pt>
                <c:pt idx="53">
                  <c:v>1953-06</c:v>
                </c:pt>
                <c:pt idx="54">
                  <c:v>1953-07</c:v>
                </c:pt>
                <c:pt idx="55">
                  <c:v>1953-08</c:v>
                </c:pt>
                <c:pt idx="56">
                  <c:v>1953-09</c:v>
                </c:pt>
                <c:pt idx="57">
                  <c:v>1953-10</c:v>
                </c:pt>
                <c:pt idx="58">
                  <c:v>1953-11</c:v>
                </c:pt>
                <c:pt idx="59">
                  <c:v>1953-12</c:v>
                </c:pt>
                <c:pt idx="60">
                  <c:v>1954-01</c:v>
                </c:pt>
                <c:pt idx="61">
                  <c:v>1954-02</c:v>
                </c:pt>
                <c:pt idx="62">
                  <c:v>1954-03</c:v>
                </c:pt>
                <c:pt idx="63">
                  <c:v>1954-04</c:v>
                </c:pt>
                <c:pt idx="64">
                  <c:v>1954-05</c:v>
                </c:pt>
                <c:pt idx="65">
                  <c:v>1954-06</c:v>
                </c:pt>
                <c:pt idx="66">
                  <c:v>1954-07</c:v>
                </c:pt>
                <c:pt idx="67">
                  <c:v>1954-08</c:v>
                </c:pt>
                <c:pt idx="68">
                  <c:v>1954-09</c:v>
                </c:pt>
                <c:pt idx="69">
                  <c:v>1954-10</c:v>
                </c:pt>
                <c:pt idx="70">
                  <c:v>1954-11</c:v>
                </c:pt>
                <c:pt idx="71">
                  <c:v>1954-12</c:v>
                </c:pt>
                <c:pt idx="72">
                  <c:v>1955-01</c:v>
                </c:pt>
                <c:pt idx="73">
                  <c:v>1955-02</c:v>
                </c:pt>
                <c:pt idx="74">
                  <c:v>1955-03</c:v>
                </c:pt>
                <c:pt idx="75">
                  <c:v>1955-04</c:v>
                </c:pt>
                <c:pt idx="76">
                  <c:v>1955-05</c:v>
                </c:pt>
                <c:pt idx="77">
                  <c:v>1955-06</c:v>
                </c:pt>
                <c:pt idx="78">
                  <c:v>1955-07</c:v>
                </c:pt>
                <c:pt idx="79">
                  <c:v>1955-08</c:v>
                </c:pt>
                <c:pt idx="80">
                  <c:v>1955-09</c:v>
                </c:pt>
                <c:pt idx="81">
                  <c:v>1955-10</c:v>
                </c:pt>
                <c:pt idx="82">
                  <c:v>1955-11</c:v>
                </c:pt>
                <c:pt idx="83">
                  <c:v>1955-12</c:v>
                </c:pt>
                <c:pt idx="84">
                  <c:v>1956-01</c:v>
                </c:pt>
                <c:pt idx="85">
                  <c:v>1956-02</c:v>
                </c:pt>
                <c:pt idx="86">
                  <c:v>1956-03</c:v>
                </c:pt>
                <c:pt idx="87">
                  <c:v>1956-04</c:v>
                </c:pt>
                <c:pt idx="88">
                  <c:v>1956-05</c:v>
                </c:pt>
                <c:pt idx="89">
                  <c:v>1956-06</c:v>
                </c:pt>
                <c:pt idx="90">
                  <c:v>1956-07</c:v>
                </c:pt>
                <c:pt idx="91">
                  <c:v>1956-08</c:v>
                </c:pt>
                <c:pt idx="92">
                  <c:v>1956-09</c:v>
                </c:pt>
                <c:pt idx="93">
                  <c:v>1956-10</c:v>
                </c:pt>
                <c:pt idx="94">
                  <c:v>1956-11</c:v>
                </c:pt>
                <c:pt idx="95">
                  <c:v>1956-12</c:v>
                </c:pt>
                <c:pt idx="96">
                  <c:v>1957-01</c:v>
                </c:pt>
                <c:pt idx="97">
                  <c:v>1957-02</c:v>
                </c:pt>
                <c:pt idx="98">
                  <c:v>1957-03</c:v>
                </c:pt>
                <c:pt idx="99">
                  <c:v>1957-04</c:v>
                </c:pt>
                <c:pt idx="100">
                  <c:v>1957-05</c:v>
                </c:pt>
                <c:pt idx="101">
                  <c:v>1957-06</c:v>
                </c:pt>
                <c:pt idx="102">
                  <c:v>1957-07</c:v>
                </c:pt>
                <c:pt idx="103">
                  <c:v>1957-08</c:v>
                </c:pt>
                <c:pt idx="104">
                  <c:v>1957-09</c:v>
                </c:pt>
                <c:pt idx="105">
                  <c:v>1957-10</c:v>
                </c:pt>
                <c:pt idx="106">
                  <c:v>1957-11</c:v>
                </c:pt>
                <c:pt idx="107">
                  <c:v>1957-12</c:v>
                </c:pt>
                <c:pt idx="108">
                  <c:v>1958-01</c:v>
                </c:pt>
                <c:pt idx="109">
                  <c:v>1958-02</c:v>
                </c:pt>
                <c:pt idx="110">
                  <c:v>1958-03</c:v>
                </c:pt>
                <c:pt idx="111">
                  <c:v>1958-04</c:v>
                </c:pt>
                <c:pt idx="112">
                  <c:v>1958-05</c:v>
                </c:pt>
                <c:pt idx="113">
                  <c:v>1958-06</c:v>
                </c:pt>
                <c:pt idx="114">
                  <c:v>1958-07</c:v>
                </c:pt>
                <c:pt idx="115">
                  <c:v>1958-08</c:v>
                </c:pt>
                <c:pt idx="116">
                  <c:v>1958-09</c:v>
                </c:pt>
                <c:pt idx="117">
                  <c:v>1958-10</c:v>
                </c:pt>
                <c:pt idx="118">
                  <c:v>1958-11</c:v>
                </c:pt>
                <c:pt idx="119">
                  <c:v>1958-12</c:v>
                </c:pt>
                <c:pt idx="120">
                  <c:v>1959-01</c:v>
                </c:pt>
                <c:pt idx="121">
                  <c:v>1959-02</c:v>
                </c:pt>
                <c:pt idx="122">
                  <c:v>1959-03</c:v>
                </c:pt>
                <c:pt idx="123">
                  <c:v>1959-04</c:v>
                </c:pt>
                <c:pt idx="124">
                  <c:v>1959-05</c:v>
                </c:pt>
                <c:pt idx="125">
                  <c:v>1959-06</c:v>
                </c:pt>
                <c:pt idx="126">
                  <c:v>1959-07</c:v>
                </c:pt>
                <c:pt idx="127">
                  <c:v>1959-08</c:v>
                </c:pt>
                <c:pt idx="128">
                  <c:v>1959-09</c:v>
                </c:pt>
                <c:pt idx="129">
                  <c:v>1959-10</c:v>
                </c:pt>
                <c:pt idx="130">
                  <c:v>1959-11</c:v>
                </c:pt>
                <c:pt idx="131">
                  <c:v>1959-12</c:v>
                </c:pt>
                <c:pt idx="132">
                  <c:v>1960-01</c:v>
                </c:pt>
                <c:pt idx="133">
                  <c:v>1960-02</c:v>
                </c:pt>
                <c:pt idx="134">
                  <c:v>1960-03</c:v>
                </c:pt>
                <c:pt idx="135">
                  <c:v>1960-04</c:v>
                </c:pt>
                <c:pt idx="136">
                  <c:v>1960-05</c:v>
                </c:pt>
                <c:pt idx="137">
                  <c:v>1960-06</c:v>
                </c:pt>
                <c:pt idx="138">
                  <c:v>1960-07</c:v>
                </c:pt>
                <c:pt idx="139">
                  <c:v>1960-08</c:v>
                </c:pt>
                <c:pt idx="140">
                  <c:v>1960-09</c:v>
                </c:pt>
                <c:pt idx="141">
                  <c:v>1960-10</c:v>
                </c:pt>
                <c:pt idx="142">
                  <c:v>1960-11</c:v>
                </c:pt>
                <c:pt idx="143">
                  <c:v>1960-12</c:v>
                </c:pt>
                <c:pt idx="144">
                  <c:v>1961-01</c:v>
                </c:pt>
                <c:pt idx="145">
                  <c:v>1961-02</c:v>
                </c:pt>
                <c:pt idx="146">
                  <c:v>1961-03</c:v>
                </c:pt>
                <c:pt idx="147">
                  <c:v>1961-04</c:v>
                </c:pt>
                <c:pt idx="148">
                  <c:v>1961-05</c:v>
                </c:pt>
                <c:pt idx="149">
                  <c:v>1961-06</c:v>
                </c:pt>
              </c:strCache>
            </c:strRef>
          </c:cat>
          <c:val>
            <c:numRef>
              <c:f>'[3]airline-passengers'!$F$6:$F$155</c:f>
              <c:numCache>
                <c:formatCode>General</c:formatCode>
                <c:ptCount val="150"/>
                <c:pt idx="13">
                  <c:v>124.32142857142858</c:v>
                </c:pt>
                <c:pt idx="14">
                  <c:v>143.58355932203389</c:v>
                </c:pt>
                <c:pt idx="15">
                  <c:v>142.68294169051288</c:v>
                </c:pt>
                <c:pt idx="16">
                  <c:v>133.25044700805228</c:v>
                </c:pt>
                <c:pt idx="17">
                  <c:v>146.4458427680328</c:v>
                </c:pt>
                <c:pt idx="18">
                  <c:v>163.60469339801455</c:v>
                </c:pt>
                <c:pt idx="19">
                  <c:v>168.86686594905183</c:v>
                </c:pt>
                <c:pt idx="20">
                  <c:v>158.2012148442376</c:v>
                </c:pt>
                <c:pt idx="21">
                  <c:v>140.61804465056943</c:v>
                </c:pt>
                <c:pt idx="22">
                  <c:v>121.40826136235528</c:v>
                </c:pt>
                <c:pt idx="23">
                  <c:v>134.71771869612252</c:v>
                </c:pt>
                <c:pt idx="24">
                  <c:v>130.78634224350319</c:v>
                </c:pt>
                <c:pt idx="25">
                  <c:v>148.03597697658952</c:v>
                </c:pt>
                <c:pt idx="26">
                  <c:v>169.52032344547681</c:v>
                </c:pt>
                <c:pt idx="27">
                  <c:v>171.96063612689071</c:v>
                </c:pt>
                <c:pt idx="28">
                  <c:v>160.09045305054278</c:v>
                </c:pt>
                <c:pt idx="29">
                  <c:v>190.47585955794139</c:v>
                </c:pt>
                <c:pt idx="30">
                  <c:v>206.09861734058148</c:v>
                </c:pt>
                <c:pt idx="31">
                  <c:v>202.36764284420076</c:v>
                </c:pt>
                <c:pt idx="32">
                  <c:v>183.84902136879469</c:v>
                </c:pt>
                <c:pt idx="33">
                  <c:v>158.79096233320018</c:v>
                </c:pt>
                <c:pt idx="34">
                  <c:v>139.69370147935422</c:v>
                </c:pt>
                <c:pt idx="35">
                  <c:v>165.10085662655456</c:v>
                </c:pt>
                <c:pt idx="36">
                  <c:v>173.17194997416573</c:v>
                </c:pt>
                <c:pt idx="37">
                  <c:v>184.80481075656274</c:v>
                </c:pt>
                <c:pt idx="38">
                  <c:v>208.52758677541343</c:v>
                </c:pt>
                <c:pt idx="39">
                  <c:v>194.68186869947888</c:v>
                </c:pt>
                <c:pt idx="40">
                  <c:v>179.31272130478203</c:v>
                </c:pt>
                <c:pt idx="41">
                  <c:v>199.64104465823655</c:v>
                </c:pt>
                <c:pt idx="42">
                  <c:v>228.77166886784846</c:v>
                </c:pt>
                <c:pt idx="43">
                  <c:v>227.88927878279739</c:v>
                </c:pt>
                <c:pt idx="44">
                  <c:v>215.28395050795424</c:v>
                </c:pt>
                <c:pt idx="45">
                  <c:v>184.70854577635475</c:v>
                </c:pt>
                <c:pt idx="46">
                  <c:v>164.78746771069834</c:v>
                </c:pt>
                <c:pt idx="47">
                  <c:v>194.45148057168825</c:v>
                </c:pt>
                <c:pt idx="48">
                  <c:v>203.22644033158866</c:v>
                </c:pt>
                <c:pt idx="49">
                  <c:v>214.14770475220431</c:v>
                </c:pt>
                <c:pt idx="50">
                  <c:v>231.97372444731499</c:v>
                </c:pt>
                <c:pt idx="51">
                  <c:v>224.93399829378271</c:v>
                </c:pt>
                <c:pt idx="52">
                  <c:v>223.20941748492788</c:v>
                </c:pt>
                <c:pt idx="53">
                  <c:v>256.35546513654646</c:v>
                </c:pt>
                <c:pt idx="54">
                  <c:v>274.93369626765053</c:v>
                </c:pt>
                <c:pt idx="55">
                  <c:v>270.1180197106018</c:v>
                </c:pt>
                <c:pt idx="56">
                  <c:v>244.04733956292057</c:v>
                </c:pt>
                <c:pt idx="57">
                  <c:v>208.98992732659676</c:v>
                </c:pt>
                <c:pt idx="58">
                  <c:v>182.67659087395833</c:v>
                </c:pt>
                <c:pt idx="59">
                  <c:v>205.26258839653525</c:v>
                </c:pt>
                <c:pt idx="60">
                  <c:v>207.13241409393001</c:v>
                </c:pt>
                <c:pt idx="61">
                  <c:v>213.71173661280986</c:v>
                </c:pt>
                <c:pt idx="62">
                  <c:v>225.39809070562873</c:v>
                </c:pt>
                <c:pt idx="63">
                  <c:v>217.08376008608468</c:v>
                </c:pt>
                <c:pt idx="64">
                  <c:v>210.78800872658081</c:v>
                </c:pt>
                <c:pt idx="65">
                  <c:v>244.65691807437054</c:v>
                </c:pt>
                <c:pt idx="66">
                  <c:v>277.64931320585276</c:v>
                </c:pt>
                <c:pt idx="67">
                  <c:v>294.00541543315416</c:v>
                </c:pt>
                <c:pt idx="68">
                  <c:v>267.60827513754379</c:v>
                </c:pt>
                <c:pt idx="69">
                  <c:v>233.83346563499265</c:v>
                </c:pt>
                <c:pt idx="70">
                  <c:v>203.84775009923132</c:v>
                </c:pt>
                <c:pt idx="71">
                  <c:v>232.90658903554802</c:v>
                </c:pt>
                <c:pt idx="72">
                  <c:v>238.85328967696202</c:v>
                </c:pt>
                <c:pt idx="73">
                  <c:v>249.1844481786033</c:v>
                </c:pt>
                <c:pt idx="74">
                  <c:v>281.72317271028834</c:v>
                </c:pt>
                <c:pt idx="75">
                  <c:v>265.55492817827604</c:v>
                </c:pt>
                <c:pt idx="76">
                  <c:v>260.27357872410346</c:v>
                </c:pt>
                <c:pt idx="77">
                  <c:v>294.2411191645993</c:v>
                </c:pt>
                <c:pt idx="78">
                  <c:v>334.59227762164011</c:v>
                </c:pt>
                <c:pt idx="79">
                  <c:v>350.46217073080101</c:v>
                </c:pt>
                <c:pt idx="80">
                  <c:v>316.19504336147031</c:v>
                </c:pt>
                <c:pt idx="81">
                  <c:v>278.66524862984932</c:v>
                </c:pt>
                <c:pt idx="82">
                  <c:v>243.88393279759745</c:v>
                </c:pt>
                <c:pt idx="83">
                  <c:v>274.7010085259061</c:v>
                </c:pt>
                <c:pt idx="84">
                  <c:v>286.44330285310139</c:v>
                </c:pt>
                <c:pt idx="85">
                  <c:v>292.257088068531</c:v>
                </c:pt>
                <c:pt idx="86">
                  <c:v>332.08264892144865</c:v>
                </c:pt>
                <c:pt idx="87">
                  <c:v>316.95617769139596</c:v>
                </c:pt>
                <c:pt idx="88">
                  <c:v>308.46255436098431</c:v>
                </c:pt>
                <c:pt idx="89">
                  <c:v>349.6113914214713</c:v>
                </c:pt>
                <c:pt idx="90">
                  <c:v>399.13234295923746</c:v>
                </c:pt>
                <c:pt idx="91">
                  <c:v>401.86538336363446</c:v>
                </c:pt>
                <c:pt idx="92">
                  <c:v>362.98394313511687</c:v>
                </c:pt>
                <c:pt idx="93">
                  <c:v>316.50869843793032</c:v>
                </c:pt>
                <c:pt idx="94">
                  <c:v>272.30265103176015</c:v>
                </c:pt>
                <c:pt idx="95">
                  <c:v>309.68111513702013</c:v>
                </c:pt>
                <c:pt idx="96">
                  <c:v>316.51275112453163</c:v>
                </c:pt>
                <c:pt idx="97">
                  <c:v>318.76714610202293</c:v>
                </c:pt>
                <c:pt idx="98">
                  <c:v>358.63243540295997</c:v>
                </c:pt>
                <c:pt idx="99">
                  <c:v>347.83477634927868</c:v>
                </c:pt>
                <c:pt idx="100">
                  <c:v>342.08680575565444</c:v>
                </c:pt>
                <c:pt idx="101">
                  <c:v>391.64321261326728</c:v>
                </c:pt>
                <c:pt idx="102">
                  <c:v>447.83593841103794</c:v>
                </c:pt>
                <c:pt idx="103">
                  <c:v>450.88411075837746</c:v>
                </c:pt>
                <c:pt idx="104">
                  <c:v>411.6663827673039</c:v>
                </c:pt>
                <c:pt idx="105">
                  <c:v>359.98901635452614</c:v>
                </c:pt>
                <c:pt idx="106">
                  <c:v>311.50570716713042</c:v>
                </c:pt>
                <c:pt idx="107">
                  <c:v>352.12204697311813</c:v>
                </c:pt>
                <c:pt idx="108">
                  <c:v>354.42357845581307</c:v>
                </c:pt>
                <c:pt idx="109">
                  <c:v>346.59563361114118</c:v>
                </c:pt>
                <c:pt idx="110">
                  <c:v>383.96901425354389</c:v>
                </c:pt>
                <c:pt idx="111">
                  <c:v>359.36870884544521</c:v>
                </c:pt>
                <c:pt idx="112">
                  <c:v>343.76864959883318</c:v>
                </c:pt>
                <c:pt idx="113">
                  <c:v>392.23589754847416</c:v>
                </c:pt>
                <c:pt idx="114">
                  <c:v>446.40813030027749</c:v>
                </c:pt>
                <c:pt idx="115">
                  <c:v>457.77616002830069</c:v>
                </c:pt>
                <c:pt idx="116">
                  <c:v>426.14668841637831</c:v>
                </c:pt>
                <c:pt idx="117">
                  <c:v>364.99834980350369</c:v>
                </c:pt>
                <c:pt idx="118">
                  <c:v>318.21586920699616</c:v>
                </c:pt>
                <c:pt idx="119">
                  <c:v>356.48629180312315</c:v>
                </c:pt>
                <c:pt idx="120">
                  <c:v>356.04906156759705</c:v>
                </c:pt>
                <c:pt idx="121">
                  <c:v>353.64530434506315</c:v>
                </c:pt>
                <c:pt idx="122">
                  <c:v>404.02154792926166</c:v>
                </c:pt>
                <c:pt idx="123">
                  <c:v>395.46453459776012</c:v>
                </c:pt>
                <c:pt idx="124">
                  <c:v>397.05801417552306</c:v>
                </c:pt>
                <c:pt idx="125">
                  <c:v>468.97299991337798</c:v>
                </c:pt>
                <c:pt idx="126">
                  <c:v>520.44450777876273</c:v>
                </c:pt>
                <c:pt idx="127">
                  <c:v>529.64966581957174</c:v>
                </c:pt>
                <c:pt idx="128">
                  <c:v>474.08264249698027</c:v>
                </c:pt>
                <c:pt idx="129">
                  <c:v>413.45149872795815</c:v>
                </c:pt>
                <c:pt idx="130">
                  <c:v>360.55380385827419</c:v>
                </c:pt>
                <c:pt idx="131">
                  <c:v>408.5214390968074</c:v>
                </c:pt>
                <c:pt idx="132">
                  <c:v>423.60969161630084</c:v>
                </c:pt>
                <c:pt idx="133">
                  <c:v>416.46932405945887</c:v>
                </c:pt>
                <c:pt idx="134">
                  <c:v>474.41853684513728</c:v>
                </c:pt>
                <c:pt idx="135">
                  <c:v>436.79415294295393</c:v>
                </c:pt>
                <c:pt idx="136">
                  <c:v>450.0677615620566</c:v>
                </c:pt>
                <c:pt idx="137">
                  <c:v>524.01238713569296</c:v>
                </c:pt>
                <c:pt idx="138">
                  <c:v>587.39932781030086</c:v>
                </c:pt>
                <c:pt idx="139">
                  <c:v>599.19318601871123</c:v>
                </c:pt>
                <c:pt idx="140">
                  <c:v>517.7827748137438</c:v>
                </c:pt>
                <c:pt idx="141">
                  <c:v>449.39280792343874</c:v>
                </c:pt>
                <c:pt idx="142">
                  <c:v>398.55359855656803</c:v>
                </c:pt>
                <c:pt idx="143">
                  <c:v>443.87865183283373</c:v>
                </c:pt>
                <c:pt idx="144">
                  <c:v>442.74626264670769</c:v>
                </c:pt>
                <c:pt idx="145">
                  <c:v>519.07538391927858</c:v>
                </c:pt>
                <c:pt idx="146">
                  <c:v>524.24721547996842</c:v>
                </c:pt>
                <c:pt idx="147">
                  <c:v>528.30774184006896</c:v>
                </c:pt>
                <c:pt idx="148">
                  <c:v>532.65473031031286</c:v>
                </c:pt>
                <c:pt idx="149">
                  <c:v>540.19925969945939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23-49A0-9F75-730E7FD81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608560"/>
        <c:axId val="884609040"/>
      </c:lineChart>
      <c:catAx>
        <c:axId val="88460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09040"/>
        <c:crosses val="autoZero"/>
        <c:auto val="1"/>
        <c:lblAlgn val="ctr"/>
        <c:lblOffset val="100"/>
        <c:noMultiLvlLbl val="0"/>
      </c:catAx>
      <c:valAx>
        <c:axId val="88460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0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[4]centered!$B$1</c:f>
              <c:strCache>
                <c:ptCount val="1"/>
                <c:pt idx="0">
                  <c:v>Number of Births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[4]centered!$A$2:$A$13</c:f>
              <c:strCache>
                <c:ptCount val="12"/>
                <c:pt idx="0">
                  <c:v>January</c:v>
                </c:pt>
                <c:pt idx="1">
                  <c:v>Febuary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[4]centered!$B$2:$B$13</c:f>
              <c:numCache>
                <c:formatCode>General</c:formatCode>
                <c:ptCount val="12"/>
                <c:pt idx="0">
                  <c:v>10</c:v>
                </c:pt>
                <c:pt idx="1">
                  <c:v>12</c:v>
                </c:pt>
                <c:pt idx="2">
                  <c:v>6</c:v>
                </c:pt>
                <c:pt idx="3">
                  <c:v>5</c:v>
                </c:pt>
                <c:pt idx="4">
                  <c:v>22</c:v>
                </c:pt>
                <c:pt idx="5">
                  <c:v>18</c:v>
                </c:pt>
                <c:pt idx="6">
                  <c:v>13</c:v>
                </c:pt>
                <c:pt idx="7">
                  <c:v>7</c:v>
                </c:pt>
                <c:pt idx="8">
                  <c:v>9</c:v>
                </c:pt>
                <c:pt idx="9">
                  <c:v>10</c:v>
                </c:pt>
                <c:pt idx="10">
                  <c:v>8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24-429D-9DAE-C90383B6C834}"/>
            </c:ext>
          </c:extLst>
        </c:ser>
        <c:ser>
          <c:idx val="1"/>
          <c:order val="1"/>
          <c:tx>
            <c:strRef>
              <c:f>[4]centered!$C$1</c:f>
              <c:strCache>
                <c:ptCount val="1"/>
                <c:pt idx="0">
                  <c:v>3- Moving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[4]centered!$A$2:$A$13</c:f>
              <c:strCache>
                <c:ptCount val="12"/>
                <c:pt idx="0">
                  <c:v>January</c:v>
                </c:pt>
                <c:pt idx="1">
                  <c:v>Febuary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[4]centered!$C$2:$C$13</c:f>
              <c:numCache>
                <c:formatCode>0.0</c:formatCode>
                <c:ptCount val="12"/>
                <c:pt idx="1">
                  <c:v>9.3333333333333339</c:v>
                </c:pt>
                <c:pt idx="2">
                  <c:v>7.666666666666667</c:v>
                </c:pt>
                <c:pt idx="3">
                  <c:v>11</c:v>
                </c:pt>
                <c:pt idx="4">
                  <c:v>15</c:v>
                </c:pt>
                <c:pt idx="5">
                  <c:v>17.666666666666668</c:v>
                </c:pt>
                <c:pt idx="6">
                  <c:v>12.666666666666666</c:v>
                </c:pt>
                <c:pt idx="7">
                  <c:v>9.6666666666666661</c:v>
                </c:pt>
                <c:pt idx="8">
                  <c:v>8.6666666666666661</c:v>
                </c:pt>
                <c:pt idx="9">
                  <c:v>9</c:v>
                </c:pt>
                <c:pt idx="1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24-429D-9DAE-C90383B6C834}"/>
            </c:ext>
          </c:extLst>
        </c:ser>
        <c:ser>
          <c:idx val="2"/>
          <c:order val="2"/>
          <c:tx>
            <c:strRef>
              <c:f>[4]centered!$D$1</c:f>
              <c:strCache>
                <c:ptCount val="1"/>
                <c:pt idx="0">
                  <c:v>5- Moving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[4]centered!$A$2:$A$13</c:f>
              <c:strCache>
                <c:ptCount val="12"/>
                <c:pt idx="0">
                  <c:v>January</c:v>
                </c:pt>
                <c:pt idx="1">
                  <c:v>Febuary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[4]centered!$D$2:$D$13</c:f>
              <c:numCache>
                <c:formatCode>General</c:formatCode>
                <c:ptCount val="12"/>
                <c:pt idx="2">
                  <c:v>11</c:v>
                </c:pt>
                <c:pt idx="3">
                  <c:v>12.6</c:v>
                </c:pt>
                <c:pt idx="4">
                  <c:v>12.8</c:v>
                </c:pt>
                <c:pt idx="5">
                  <c:v>13</c:v>
                </c:pt>
                <c:pt idx="6">
                  <c:v>13.8</c:v>
                </c:pt>
                <c:pt idx="7">
                  <c:v>11.4</c:v>
                </c:pt>
                <c:pt idx="8">
                  <c:v>9.4</c:v>
                </c:pt>
                <c:pt idx="9">
                  <c:v>9.8000000000000007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24-429D-9DAE-C90383B6C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047535"/>
        <c:axId val="78046095"/>
      </c:lineChart>
      <c:catAx>
        <c:axId val="7804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46095"/>
        <c:crosses val="autoZero"/>
        <c:auto val="1"/>
        <c:lblAlgn val="ctr"/>
        <c:lblOffset val="100"/>
        <c:noMultiLvlLbl val="0"/>
      </c:catAx>
      <c:valAx>
        <c:axId val="78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4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NULL"/><Relationship Id="rId3" Type="http://schemas.openxmlformats.org/officeDocument/2006/relationships/customXml" Target="../ink/ink1.xml"/><Relationship Id="rId2" Type="http://schemas.openxmlformats.org/officeDocument/2006/relationships/image" Target="../media/image3.png"/><Relationship Id="rId1" Type="http://schemas.openxmlformats.org/officeDocument/2006/relationships/chart" Target="../charts/chart4.xml"/><Relationship Id="rId11" Type="http://schemas.openxmlformats.org/officeDocument/2006/relationships/image" Target="NULL"/><Relationship Id="rId5" Type="http://schemas.openxmlformats.org/officeDocument/2006/relationships/customXml" Target="../ink/ink2.xml"/><Relationship Id="rId10" Type="http://schemas.openxmlformats.org/officeDocument/2006/relationships/customXml" Target="../ink/ink4.xml"/><Relationship Id="rId4" Type="http://schemas.openxmlformats.org/officeDocument/2006/relationships/image" Target="NULL"/><Relationship Id="rId9" Type="http://schemas.openxmlformats.org/officeDocument/2006/relationships/customXml" Target="../ink/ink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1" Type="http://schemas.openxmlformats.org/officeDocument/2006/relationships/customXml" Target="../ink/ink5.xml"/><Relationship Id="rId6" Type="http://schemas.openxmlformats.org/officeDocument/2006/relationships/customXml" Target="../ink/ink7.xml"/><Relationship Id="rId5" Type="http://schemas.openxmlformats.org/officeDocument/2006/relationships/image" Target="../media/image4.png"/><Relationship Id="rId4" Type="http://schemas.openxmlformats.org/officeDocument/2006/relationships/customXml" Target="../ink/ink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7" Type="http://schemas.openxmlformats.org/officeDocument/2006/relationships/image" Target="../media/image30.png"/><Relationship Id="rId2" Type="http://schemas.openxmlformats.org/officeDocument/2006/relationships/customXml" Target="../ink/ink8.xml"/><Relationship Id="rId1" Type="http://schemas.openxmlformats.org/officeDocument/2006/relationships/chart" Target="../charts/chart5.xml"/><Relationship Id="rId6" Type="http://schemas.openxmlformats.org/officeDocument/2006/relationships/customXml" Target="../ink/ink10.xml"/><Relationship Id="rId5" Type="http://schemas.openxmlformats.org/officeDocument/2006/relationships/image" Target="../media/image20.png"/><Relationship Id="rId4" Type="http://schemas.openxmlformats.org/officeDocument/2006/relationships/customXml" Target="../ink/ink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381000</xdr:colOff>
      <xdr:row>4</xdr:row>
      <xdr:rowOff>167640</xdr:rowOff>
    </xdr:from>
    <xdr:to>
      <xdr:col>20</xdr:col>
      <xdr:colOff>556592</xdr:colOff>
      <xdr:row>18</xdr:row>
      <xdr:rowOff>23065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B0A03A-1C32-496C-B018-F135DA12D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5400" y="800100"/>
          <a:ext cx="3833192" cy="2385265"/>
        </a:xfrm>
        <a:prstGeom prst="rect">
          <a:avLst/>
        </a:prstGeom>
      </xdr:spPr>
    </xdr:pic>
    <xdr:clientData/>
  </xdr:twoCellAnchor>
  <xdr:twoCellAnchor>
    <xdr:from>
      <xdr:col>6</xdr:col>
      <xdr:colOff>22860</xdr:colOff>
      <xdr:row>4</xdr:row>
      <xdr:rowOff>106680</xdr:rowOff>
    </xdr:from>
    <xdr:to>
      <xdr:col>13</xdr:col>
      <xdr:colOff>327660</xdr:colOff>
      <xdr:row>19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6E367A-E1EA-4EF3-864B-F70EB6949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235816</xdr:colOff>
      <xdr:row>21</xdr:row>
      <xdr:rowOff>156730</xdr:rowOff>
    </xdr:from>
    <xdr:to>
      <xdr:col>15</xdr:col>
      <xdr:colOff>540615</xdr:colOff>
      <xdr:row>36</xdr:row>
      <xdr:rowOff>139989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5C8A9E-F743-4B8A-97BA-27F143E7F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86880</xdr:colOff>
      <xdr:row>4</xdr:row>
      <xdr:rowOff>155285</xdr:rowOff>
    </xdr:from>
    <xdr:to>
      <xdr:col>15</xdr:col>
      <xdr:colOff>391679</xdr:colOff>
      <xdr:row>19</xdr:row>
      <xdr:rowOff>136236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ECD139-F75E-4557-8E30-BC4285DD2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246956</xdr:colOff>
      <xdr:row>13</xdr:row>
      <xdr:rowOff>102177</xdr:rowOff>
    </xdr:from>
    <xdr:to>
      <xdr:col>23</xdr:col>
      <xdr:colOff>172623</xdr:colOff>
      <xdr:row>26</xdr:row>
      <xdr:rowOff>3118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CEC4A5-0C42-49FF-A4C3-2F8D20E86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30296" y="2479617"/>
          <a:ext cx="4192867" cy="16840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226695</xdr:colOff>
      <xdr:row>25</xdr:row>
      <xdr:rowOff>118110</xdr:rowOff>
    </xdr:from>
    <xdr:to>
      <xdr:col>19</xdr:col>
      <xdr:colOff>531495</xdr:colOff>
      <xdr:row>40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BC31A6-3E40-4CBA-A855-09389B1D7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167640</xdr:colOff>
      <xdr:row>3</xdr:row>
      <xdr:rowOff>68580</xdr:rowOff>
    </xdr:from>
    <xdr:to>
      <xdr:col>19</xdr:col>
      <xdr:colOff>526181</xdr:colOff>
      <xdr:row>22</xdr:row>
      <xdr:rowOff>68806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00D7BB-EDB6-4FAF-AEDB-A75C83ABA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55280" y="480060"/>
          <a:ext cx="4625741" cy="2606266"/>
        </a:xfrm>
        <a:prstGeom prst="rect">
          <a:avLst/>
        </a:prstGeom>
      </xdr:spPr>
    </xdr:pic>
    <xdr:clientData/>
  </xdr:twoCellAnchor>
  <xdr:twoCellAnchor editAs="oneCell">
    <xdr:from>
      <xdr:col>7</xdr:col>
      <xdr:colOff>88830</xdr:colOff>
      <xdr:row>9</xdr:row>
      <xdr:rowOff>42780</xdr:rowOff>
    </xdr:from>
    <xdr:to>
      <xdr:col>7</xdr:col>
      <xdr:colOff>110430</xdr:colOff>
      <xdr:row>9</xdr:row>
      <xdr:rowOff>63660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0FDB7B6-BDAE-41B9-BE46-15B40F78AC7B}"/>
                </a:ext>
              </a:extLst>
            </xdr14:cNvPr>
            <xdr14:cNvContentPartPr/>
          </xdr14:nvContentPartPr>
          <xdr14:nvPr macro=""/>
          <xdr14:xfrm>
            <a:off x="4832280" y="1700130"/>
            <a:ext cx="21600" cy="208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22642349-DC44-8DC4-9AF2-ADB0798542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823640" y="1691130"/>
              <a:ext cx="39240" cy="3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316800</xdr:colOff>
      <xdr:row>17</xdr:row>
      <xdr:rowOff>160780</xdr:rowOff>
    </xdr:from>
    <xdr:to>
      <xdr:col>0</xdr:col>
      <xdr:colOff>321840</xdr:colOff>
      <xdr:row>18</xdr:row>
      <xdr:rowOff>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502B3F1-F595-42E4-8BAF-9CAB11658B1B}"/>
                </a:ext>
              </a:extLst>
            </xdr14:cNvPr>
            <xdr14:cNvContentPartPr/>
          </xdr14:nvContentPartPr>
          <xdr14:nvPr macro=""/>
          <xdr14:xfrm>
            <a:off x="316800" y="3291330"/>
            <a:ext cx="5040" cy="61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3BEABE6-12B4-E4E1-3275-0EF5DEF7648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07800" y="3282330"/>
              <a:ext cx="2268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175590</xdr:colOff>
      <xdr:row>5</xdr:row>
      <xdr:rowOff>116980</xdr:rowOff>
    </xdr:from>
    <xdr:to>
      <xdr:col>4</xdr:col>
      <xdr:colOff>178830</xdr:colOff>
      <xdr:row>5</xdr:row>
      <xdr:rowOff>123820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9FF19D1-BC8C-4611-86B3-962D17A736C4}"/>
                </a:ext>
              </a:extLst>
            </xdr14:cNvPr>
            <xdr14:cNvContentPartPr/>
          </xdr14:nvContentPartPr>
          <xdr14:nvPr macro=""/>
          <xdr14:xfrm>
            <a:off x="3090240" y="1037730"/>
            <a:ext cx="3240" cy="68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3F83087-F858-3881-B983-A1B412718BA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081600" y="1028730"/>
              <a:ext cx="2088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264510</xdr:colOff>
      <xdr:row>6</xdr:row>
      <xdr:rowOff>27150</xdr:rowOff>
    </xdr:from>
    <xdr:to>
      <xdr:col>4</xdr:col>
      <xdr:colOff>315990</xdr:colOff>
      <xdr:row>7</xdr:row>
      <xdr:rowOff>16710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DAC1DEC-EAAF-4E98-9059-E9A51CD547B3}"/>
                </a:ext>
              </a:extLst>
            </xdr14:cNvPr>
            <xdr14:cNvContentPartPr/>
          </xdr14:nvContentPartPr>
          <xdr14:nvPr macro=""/>
          <xdr14:xfrm>
            <a:off x="3179160" y="1132050"/>
            <a:ext cx="51480" cy="1267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1D24CC8C-A4FB-5B1A-F002-92B7CD21D57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170520" y="1123050"/>
              <a:ext cx="69120" cy="144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380520</xdr:colOff>
      <xdr:row>1</xdr:row>
      <xdr:rowOff>128200</xdr:rowOff>
    </xdr:from>
    <xdr:to>
      <xdr:col>0</xdr:col>
      <xdr:colOff>384480</xdr:colOff>
      <xdr:row>2</xdr:row>
      <xdr:rowOff>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DD66C0C-0AAA-4529-9E19-AF3C2A7162BD}"/>
                </a:ext>
              </a:extLst>
            </xdr14:cNvPr>
            <xdr14:cNvContentPartPr/>
          </xdr14:nvContentPartPr>
          <xdr14:nvPr macro=""/>
          <xdr14:xfrm>
            <a:off x="380520" y="308880"/>
            <a:ext cx="3960" cy="18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4BCACEB-9FE0-7D75-9A9D-D04766D617D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71520" y="299880"/>
              <a:ext cx="2160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370373</xdr:colOff>
      <xdr:row>3</xdr:row>
      <xdr:rowOff>70679</xdr:rowOff>
    </xdr:from>
    <xdr:to>
      <xdr:col>3</xdr:col>
      <xdr:colOff>383333</xdr:colOff>
      <xdr:row>3</xdr:row>
      <xdr:rowOff>85079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DEE397A-C6FB-4FB7-8E40-4442BF67C8EA}"/>
                </a:ext>
              </a:extLst>
            </xdr14:cNvPr>
            <xdr14:cNvContentPartPr/>
          </xdr14:nvContentPartPr>
          <xdr14:nvPr macro=""/>
          <xdr14:xfrm>
            <a:off x="2208600" y="612720"/>
            <a:ext cx="12960" cy="1440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4495129B-3273-0833-892D-16202795174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199960" y="603720"/>
              <a:ext cx="3060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361035</xdr:colOff>
      <xdr:row>19</xdr:row>
      <xdr:rowOff>108752</xdr:rowOff>
    </xdr:from>
    <xdr:to>
      <xdr:col>2</xdr:col>
      <xdr:colOff>367155</xdr:colOff>
      <xdr:row>19</xdr:row>
      <xdr:rowOff>109832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C0D22D4-40ED-4132-A6DB-A7F99D5B58A2}"/>
                </a:ext>
              </a:extLst>
            </xdr14:cNvPr>
            <xdr14:cNvContentPartPr/>
          </xdr14:nvContentPartPr>
          <xdr14:nvPr macro=""/>
          <xdr14:xfrm>
            <a:off x="1586520" y="3541680"/>
            <a:ext cx="6120" cy="10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21DC641-095E-B7D5-789C-7E3510DE2BD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577520" y="3533040"/>
              <a:ext cx="23760" cy="18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6</xdr:row>
      <xdr:rowOff>15240</xdr:rowOff>
    </xdr:from>
    <xdr:to>
      <xdr:col>14</xdr:col>
      <xdr:colOff>228600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A37B3C-6A17-4141-9031-5105110B4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483000</xdr:colOff>
      <xdr:row>2</xdr:row>
      <xdr:rowOff>164520</xdr:rowOff>
    </xdr:from>
    <xdr:to>
      <xdr:col>1</xdr:col>
      <xdr:colOff>487680</xdr:colOff>
      <xdr:row>2</xdr:row>
      <xdr:rowOff>144540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68CC104-E9BD-4ECF-8336-5C1ACDD383DF}"/>
                </a:ext>
              </a:extLst>
            </xdr14:cNvPr>
            <xdr14:cNvContentPartPr/>
          </xdr14:nvContentPartPr>
          <xdr14:nvPr macro=""/>
          <xdr14:xfrm>
            <a:off x="1092600" y="530280"/>
            <a:ext cx="4680" cy="28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E0FFABA-AD21-7242-D525-AD522E5B4E2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83600" y="521280"/>
              <a:ext cx="2232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678060</xdr:colOff>
      <xdr:row>20</xdr:row>
      <xdr:rowOff>66240</xdr:rowOff>
    </xdr:from>
    <xdr:to>
      <xdr:col>3</xdr:col>
      <xdr:colOff>8160</xdr:colOff>
      <xdr:row>20</xdr:row>
      <xdr:rowOff>78120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05EA335-FBB5-498B-BFA9-79E347C92A88}"/>
                </a:ext>
              </a:extLst>
            </xdr14:cNvPr>
            <xdr14:cNvContentPartPr/>
          </xdr14:nvContentPartPr>
          <xdr14:nvPr macro=""/>
          <xdr14:xfrm>
            <a:off x="2346840" y="3723840"/>
            <a:ext cx="8280" cy="118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B8F4D4A5-26B0-E932-0296-AA719AB979B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337840" y="3715200"/>
              <a:ext cx="25920" cy="2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464940</xdr:colOff>
      <xdr:row>2</xdr:row>
      <xdr:rowOff>109800</xdr:rowOff>
    </xdr:from>
    <xdr:to>
      <xdr:col>2</xdr:col>
      <xdr:colOff>471420</xdr:colOff>
      <xdr:row>2</xdr:row>
      <xdr:rowOff>118800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060D681-F8C8-456C-A23F-376CC4EA32DC}"/>
                </a:ext>
              </a:extLst>
            </xdr14:cNvPr>
            <xdr14:cNvContentPartPr/>
          </xdr14:nvContentPartPr>
          <xdr14:nvPr macro=""/>
          <xdr14:xfrm>
            <a:off x="2133720" y="475560"/>
            <a:ext cx="6480" cy="90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03D584C-8E78-1358-E081-B38BE411EC6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24720" y="466920"/>
              <a:ext cx="24120" cy="26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dra\OneDrive\Desktop\New%20Folder\Forecasting\Campus_X_share\Smoothing_code\Simple_expo.xlsx" TargetMode="External"/><Relationship Id="rId1" Type="http://schemas.openxmlformats.org/officeDocument/2006/relationships/externalLinkPath" Target="/Users/Indra/OneDrive/Desktop/New%20Folder/Forecasting/Campus_X_share/Smoothing_code/Simple_exp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dra\OneDrive\Desktop\New%20Folder\Forecasting\Campus_X_share\Smoothing_code\Double-expo.xlsx" TargetMode="External"/><Relationship Id="rId1" Type="http://schemas.openxmlformats.org/officeDocument/2006/relationships/externalLinkPath" Target="/Users/Indra/OneDrive/Desktop/New%20Folder/Forecasting/Campus_X_share/Smoothing_code/Double-exp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dra\OneDrive\Desktop\New%20Folder\Forecasting\Campus_X_share\Smoothing_code\triple-expo.xlsx" TargetMode="External"/><Relationship Id="rId1" Type="http://schemas.openxmlformats.org/officeDocument/2006/relationships/externalLinkPath" Target="/Users/Indra/OneDrive/Desktop/New%20Folder/Forecasting/Campus_X_share/Smoothing_code/triple-exp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dra\OneDrive\Desktop\New%20Folder\Forecasting\Campus_X_share\Smoothing_code\three_mean_trailing.xlsx" TargetMode="External"/><Relationship Id="rId1" Type="http://schemas.openxmlformats.org/officeDocument/2006/relationships/externalLinkPath" Target="/Users/Indra/OneDrive/Desktop/New%20Folder/Forecasting/Campus_X_share/Smoothing_code/three_mean_trail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B4" t="str">
            <v>Rates</v>
          </cell>
          <cell r="D4" t="str">
            <v>Forecast</v>
          </cell>
        </row>
        <row r="5">
          <cell r="A5">
            <v>36069</v>
          </cell>
          <cell r="B5">
            <v>6.35</v>
          </cell>
          <cell r="D5">
            <v>6.35</v>
          </cell>
        </row>
        <row r="6">
          <cell r="A6">
            <v>36100</v>
          </cell>
          <cell r="B6">
            <v>5.36</v>
          </cell>
          <cell r="D6">
            <v>6.35</v>
          </cell>
        </row>
        <row r="7">
          <cell r="A7">
            <v>36130</v>
          </cell>
          <cell r="B7">
            <v>5.25</v>
          </cell>
          <cell r="D7">
            <v>6.1520000000000001</v>
          </cell>
        </row>
        <row r="8">
          <cell r="A8">
            <v>36161</v>
          </cell>
          <cell r="B8">
            <v>4.9400000000000004</v>
          </cell>
          <cell r="D8">
            <v>5.9716000000000005</v>
          </cell>
        </row>
        <row r="9">
          <cell r="A9">
            <v>36192</v>
          </cell>
          <cell r="B9">
            <v>5.13</v>
          </cell>
          <cell r="D9">
            <v>5.7652800000000006</v>
          </cell>
        </row>
        <row r="10">
          <cell r="A10">
            <v>36220</v>
          </cell>
          <cell r="B10">
            <v>5.63</v>
          </cell>
          <cell r="D10">
            <v>5.6382240000000001</v>
          </cell>
        </row>
        <row r="11">
          <cell r="A11">
            <v>36251</v>
          </cell>
          <cell r="B11">
            <v>5.35</v>
          </cell>
          <cell r="D11">
            <v>5.6365792000000008</v>
          </cell>
        </row>
        <row r="12">
          <cell r="A12">
            <v>36281</v>
          </cell>
          <cell r="B12">
            <v>5.75</v>
          </cell>
          <cell r="D12">
            <v>5.5792633600000014</v>
          </cell>
        </row>
        <row r="13">
          <cell r="A13">
            <v>36312</v>
          </cell>
          <cell r="B13">
            <v>5.26</v>
          </cell>
          <cell r="D13">
            <v>5.6134106880000019</v>
          </cell>
        </row>
        <row r="14">
          <cell r="A14">
            <v>36342</v>
          </cell>
          <cell r="D14">
            <v>5.5427285504000015</v>
          </cell>
        </row>
        <row r="15">
          <cell r="A15">
            <v>36373</v>
          </cell>
          <cell r="D15">
            <v>5.4861828403200015</v>
          </cell>
        </row>
        <row r="16">
          <cell r="A16">
            <v>36404</v>
          </cell>
          <cell r="D16">
            <v>5.4409462722560011</v>
          </cell>
        </row>
        <row r="17">
          <cell r="A17">
            <v>36434</v>
          </cell>
          <cell r="D17">
            <v>5.4047570178048012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-of-shampoo-over-a-three-y"/>
    </sheetNames>
    <sheetDataSet>
      <sheetData sheetId="0">
        <row r="5">
          <cell r="B5" t="str">
            <v>Sales of shampoo over a three year period</v>
          </cell>
          <cell r="F5" t="str">
            <v>Yt+1</v>
          </cell>
        </row>
        <row r="6">
          <cell r="B6">
            <v>266</v>
          </cell>
        </row>
        <row r="7">
          <cell r="B7">
            <v>145.9</v>
          </cell>
        </row>
        <row r="8">
          <cell r="B8">
            <v>183.1</v>
          </cell>
          <cell r="F8">
            <v>145.9</v>
          </cell>
        </row>
        <row r="9">
          <cell r="B9">
            <v>119.3</v>
          </cell>
          <cell r="F9">
            <v>67.463999999999999</v>
          </cell>
        </row>
        <row r="10">
          <cell r="B10">
            <v>180.3</v>
          </cell>
          <cell r="F10">
            <v>21.044319999999999</v>
          </cell>
        </row>
        <row r="11">
          <cell r="B11">
            <v>168.5</v>
          </cell>
          <cell r="F11">
            <v>116.70580159999997</v>
          </cell>
        </row>
        <row r="12">
          <cell r="B12">
            <v>231.8</v>
          </cell>
          <cell r="F12">
            <v>158.897809408</v>
          </cell>
        </row>
        <row r="13">
          <cell r="B13">
            <v>224.5</v>
          </cell>
          <cell r="F13">
            <v>246.48433179904001</v>
          </cell>
        </row>
        <row r="14">
          <cell r="B14">
            <v>192.8</v>
          </cell>
          <cell r="F14">
            <v>258.4168691607552</v>
          </cell>
        </row>
        <row r="15">
          <cell r="B15">
            <v>122.9</v>
          </cell>
          <cell r="F15">
            <v>212.2475453217526</v>
          </cell>
        </row>
        <row r="16">
          <cell r="B16">
            <v>336.5</v>
          </cell>
          <cell r="F16">
            <v>111.94077913491572</v>
          </cell>
        </row>
        <row r="17">
          <cell r="B17">
            <v>185.9</v>
          </cell>
          <cell r="F17">
            <v>325.6836220422</v>
          </cell>
        </row>
        <row r="18">
          <cell r="B18">
            <v>194.3</v>
          </cell>
          <cell r="F18">
            <v>225.67735365666132</v>
          </cell>
        </row>
        <row r="19">
          <cell r="B19">
            <v>149.5</v>
          </cell>
          <cell r="F19">
            <v>188.37698460520198</v>
          </cell>
        </row>
        <row r="20">
          <cell r="B20">
            <v>210.1</v>
          </cell>
          <cell r="F20">
            <v>129.49854035557934</v>
          </cell>
        </row>
        <row r="21">
          <cell r="B21">
            <v>273.3</v>
          </cell>
          <cell r="F21">
            <v>188.10762013134919</v>
          </cell>
        </row>
        <row r="22">
          <cell r="B22">
            <v>191.4</v>
          </cell>
          <cell r="F22">
            <v>285.71114360891352</v>
          </cell>
        </row>
        <row r="23">
          <cell r="B23">
            <v>287</v>
          </cell>
          <cell r="F23">
            <v>218.05152033643913</v>
          </cell>
        </row>
        <row r="24">
          <cell r="B24">
            <v>226</v>
          </cell>
          <cell r="F24">
            <v>293.63199481339234</v>
          </cell>
        </row>
        <row r="25">
          <cell r="B25">
            <v>303.60000000000002</v>
          </cell>
          <cell r="F25">
            <v>245.20069933485357</v>
          </cell>
        </row>
        <row r="26">
          <cell r="B26">
            <v>289.89999999999998</v>
          </cell>
          <cell r="F26">
            <v>309.51901697065347</v>
          </cell>
        </row>
        <row r="27">
          <cell r="B27">
            <v>421.6</v>
          </cell>
          <cell r="F27">
            <v>310.98452513371899</v>
          </cell>
        </row>
        <row r="28">
          <cell r="B28">
            <v>264.5</v>
          </cell>
          <cell r="F28">
            <v>450.0726770264767</v>
          </cell>
        </row>
        <row r="29">
          <cell r="B29">
            <v>342.3</v>
          </cell>
          <cell r="F29">
            <v>303.88859824318376</v>
          </cell>
        </row>
        <row r="30">
          <cell r="B30">
            <v>339.7</v>
          </cell>
          <cell r="F30">
            <v>330.62616334605872</v>
          </cell>
        </row>
        <row r="31">
          <cell r="B31">
            <v>440.4</v>
          </cell>
          <cell r="F31">
            <v>340.63844427157653</v>
          </cell>
        </row>
        <row r="32">
          <cell r="B32">
            <v>315.89999999999998</v>
          </cell>
          <cell r="F32">
            <v>456.03198195516973</v>
          </cell>
        </row>
        <row r="33">
          <cell r="B33">
            <v>439.3</v>
          </cell>
          <cell r="F33">
            <v>344.64461083907645</v>
          </cell>
        </row>
        <row r="34">
          <cell r="B34">
            <v>401.3</v>
          </cell>
          <cell r="F34">
            <v>437.36366295183637</v>
          </cell>
        </row>
        <row r="35">
          <cell r="B35">
            <v>437.4</v>
          </cell>
          <cell r="F35">
            <v>423.432640145893</v>
          </cell>
        </row>
        <row r="36">
          <cell r="B36">
            <v>575.5</v>
          </cell>
          <cell r="F36">
            <v>450.38962444283493</v>
          </cell>
        </row>
        <row r="37">
          <cell r="B37">
            <v>407.6</v>
          </cell>
          <cell r="F37">
            <v>607.69307746592676</v>
          </cell>
        </row>
        <row r="38">
          <cell r="B38">
            <v>682</v>
          </cell>
          <cell r="F38">
            <v>453.31502083716515</v>
          </cell>
        </row>
        <row r="39">
          <cell r="B39">
            <v>475.3</v>
          </cell>
          <cell r="F39">
            <v>695.12929509692731</v>
          </cell>
        </row>
        <row r="40">
          <cell r="B40">
            <v>581.29999999999995</v>
          </cell>
          <cell r="F40">
            <v>530.65527343414647</v>
          </cell>
        </row>
        <row r="41">
          <cell r="B41">
            <v>646.9</v>
          </cell>
          <cell r="F41">
            <v>576.78385209297085</v>
          </cell>
        </row>
        <row r="42">
          <cell r="F42">
            <v>665.99120781157023</v>
          </cell>
        </row>
        <row r="43">
          <cell r="F43">
            <v>706.11725999524936</v>
          </cell>
        </row>
        <row r="44">
          <cell r="F44">
            <v>746.24331217892836</v>
          </cell>
        </row>
        <row r="45">
          <cell r="F45">
            <v>786.36936436260748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irline-passengers"/>
    </sheetNames>
    <sheetDataSet>
      <sheetData sheetId="0">
        <row r="5">
          <cell r="B5" t="str">
            <v>Passengers</v>
          </cell>
          <cell r="F5" t="str">
            <v>Yt</v>
          </cell>
        </row>
        <row r="6">
          <cell r="A6" t="str">
            <v>1949-01</v>
          </cell>
          <cell r="B6">
            <v>112</v>
          </cell>
        </row>
        <row r="7">
          <cell r="A7" t="str">
            <v>1949-02</v>
          </cell>
          <cell r="B7">
            <v>118</v>
          </cell>
        </row>
        <row r="8">
          <cell r="A8" t="str">
            <v>1949-03</v>
          </cell>
          <cell r="B8">
            <v>132</v>
          </cell>
        </row>
        <row r="9">
          <cell r="A9" t="str">
            <v>1949-04</v>
          </cell>
          <cell r="B9">
            <v>129</v>
          </cell>
        </row>
        <row r="10">
          <cell r="A10" t="str">
            <v>1949-05</v>
          </cell>
          <cell r="B10">
            <v>121</v>
          </cell>
        </row>
        <row r="11">
          <cell r="A11" t="str">
            <v>1949-06</v>
          </cell>
          <cell r="B11">
            <v>135</v>
          </cell>
        </row>
        <row r="12">
          <cell r="A12" t="str">
            <v>1949-07</v>
          </cell>
          <cell r="B12">
            <v>148</v>
          </cell>
        </row>
        <row r="13">
          <cell r="A13" t="str">
            <v>1949-08</v>
          </cell>
          <cell r="B13">
            <v>148</v>
          </cell>
        </row>
        <row r="14">
          <cell r="A14" t="str">
            <v>1949-09</v>
          </cell>
          <cell r="B14">
            <v>136</v>
          </cell>
        </row>
        <row r="15">
          <cell r="A15" t="str">
            <v>1949-10</v>
          </cell>
          <cell r="B15">
            <v>119</v>
          </cell>
        </row>
        <row r="16">
          <cell r="A16" t="str">
            <v>1949-11</v>
          </cell>
          <cell r="B16">
            <v>104</v>
          </cell>
        </row>
        <row r="17">
          <cell r="A17" t="str">
            <v>1949-12</v>
          </cell>
          <cell r="B17">
            <v>118</v>
          </cell>
        </row>
        <row r="18">
          <cell r="A18" t="str">
            <v>1950-01</v>
          </cell>
          <cell r="B18">
            <v>115</v>
          </cell>
        </row>
        <row r="19">
          <cell r="A19" t="str">
            <v>1950-02</v>
          </cell>
          <cell r="B19">
            <v>126</v>
          </cell>
          <cell r="F19">
            <v>124.32142857142858</v>
          </cell>
        </row>
        <row r="20">
          <cell r="A20" t="str">
            <v>1950-03</v>
          </cell>
          <cell r="B20">
            <v>141</v>
          </cell>
          <cell r="F20">
            <v>143.58355932203389</v>
          </cell>
        </row>
        <row r="21">
          <cell r="A21" t="str">
            <v>1950-04</v>
          </cell>
          <cell r="B21">
            <v>135</v>
          </cell>
          <cell r="F21">
            <v>142.68294169051288</v>
          </cell>
        </row>
        <row r="22">
          <cell r="A22" t="str">
            <v>1950-05</v>
          </cell>
          <cell r="B22">
            <v>125</v>
          </cell>
          <cell r="F22">
            <v>133.25044700805228</v>
          </cell>
        </row>
        <row r="23">
          <cell r="A23" t="str">
            <v>1950-06</v>
          </cell>
          <cell r="B23">
            <v>149</v>
          </cell>
          <cell r="F23">
            <v>146.4458427680328</v>
          </cell>
        </row>
        <row r="24">
          <cell r="A24" t="str">
            <v>1950-07</v>
          </cell>
          <cell r="B24">
            <v>170</v>
          </cell>
          <cell r="F24">
            <v>163.60469339801455</v>
          </cell>
        </row>
        <row r="25">
          <cell r="A25" t="str">
            <v>1950-08</v>
          </cell>
          <cell r="B25">
            <v>170</v>
          </cell>
          <cell r="F25">
            <v>168.86686594905183</v>
          </cell>
        </row>
        <row r="26">
          <cell r="A26" t="str">
            <v>1950-09</v>
          </cell>
          <cell r="B26">
            <v>158</v>
          </cell>
          <cell r="F26">
            <v>158.2012148442376</v>
          </cell>
        </row>
        <row r="27">
          <cell r="A27" t="str">
            <v>1950-10</v>
          </cell>
          <cell r="B27">
            <v>133</v>
          </cell>
          <cell r="F27">
            <v>140.61804465056943</v>
          </cell>
        </row>
        <row r="28">
          <cell r="A28" t="str">
            <v>1950-11</v>
          </cell>
          <cell r="B28">
            <v>114</v>
          </cell>
          <cell r="F28">
            <v>121.40826136235528</v>
          </cell>
        </row>
        <row r="29">
          <cell r="A29" t="str">
            <v>1950-12</v>
          </cell>
          <cell r="B29">
            <v>140</v>
          </cell>
          <cell r="F29">
            <v>134.71771869612252</v>
          </cell>
        </row>
        <row r="30">
          <cell r="A30" t="str">
            <v>1951-01</v>
          </cell>
          <cell r="B30">
            <v>145</v>
          </cell>
          <cell r="F30">
            <v>130.78634224350319</v>
          </cell>
        </row>
        <row r="31">
          <cell r="A31" t="str">
            <v>1951-02</v>
          </cell>
          <cell r="B31">
            <v>150</v>
          </cell>
          <cell r="F31">
            <v>148.03597697658952</v>
          </cell>
        </row>
        <row r="32">
          <cell r="A32" t="str">
            <v>1951-03</v>
          </cell>
          <cell r="B32">
            <v>178</v>
          </cell>
          <cell r="F32">
            <v>169.52032344547681</v>
          </cell>
        </row>
        <row r="33">
          <cell r="A33" t="str">
            <v>1951-04</v>
          </cell>
          <cell r="B33">
            <v>163</v>
          </cell>
          <cell r="F33">
            <v>171.96063612689071</v>
          </cell>
        </row>
        <row r="34">
          <cell r="A34" t="str">
            <v>1951-05</v>
          </cell>
          <cell r="B34">
            <v>172</v>
          </cell>
          <cell r="F34">
            <v>160.09045305054278</v>
          </cell>
        </row>
        <row r="35">
          <cell r="A35" t="str">
            <v>1951-06</v>
          </cell>
          <cell r="B35">
            <v>178</v>
          </cell>
          <cell r="F35">
            <v>190.47585955794139</v>
          </cell>
        </row>
        <row r="36">
          <cell r="A36" t="str">
            <v>1951-07</v>
          </cell>
          <cell r="B36">
            <v>199</v>
          </cell>
          <cell r="F36">
            <v>206.09861734058148</v>
          </cell>
        </row>
        <row r="37">
          <cell r="A37" t="str">
            <v>1951-08</v>
          </cell>
          <cell r="B37">
            <v>199</v>
          </cell>
          <cell r="F37">
            <v>202.36764284420076</v>
          </cell>
        </row>
        <row r="38">
          <cell r="A38" t="str">
            <v>1951-09</v>
          </cell>
          <cell r="B38">
            <v>184</v>
          </cell>
          <cell r="F38">
            <v>183.84902136879469</v>
          </cell>
        </row>
        <row r="39">
          <cell r="A39" t="str">
            <v>1951-10</v>
          </cell>
          <cell r="B39">
            <v>162</v>
          </cell>
          <cell r="F39">
            <v>158.79096233320018</v>
          </cell>
        </row>
        <row r="40">
          <cell r="A40" t="str">
            <v>1951-11</v>
          </cell>
          <cell r="B40">
            <v>146</v>
          </cell>
          <cell r="F40">
            <v>139.69370147935422</v>
          </cell>
        </row>
        <row r="41">
          <cell r="A41" t="str">
            <v>1951-12</v>
          </cell>
          <cell r="B41">
            <v>166</v>
          </cell>
          <cell r="F41">
            <v>165.10085662655456</v>
          </cell>
        </row>
        <row r="42">
          <cell r="A42" t="str">
            <v>1952-01</v>
          </cell>
          <cell r="B42">
            <v>171</v>
          </cell>
          <cell r="F42">
            <v>173.17194997416573</v>
          </cell>
        </row>
        <row r="43">
          <cell r="A43" t="str">
            <v>1952-02</v>
          </cell>
          <cell r="B43">
            <v>180</v>
          </cell>
          <cell r="F43">
            <v>184.80481075656274</v>
          </cell>
        </row>
        <row r="44">
          <cell r="A44" t="str">
            <v>1952-03</v>
          </cell>
          <cell r="B44">
            <v>193</v>
          </cell>
          <cell r="F44">
            <v>208.52758677541343</v>
          </cell>
        </row>
        <row r="45">
          <cell r="A45" t="str">
            <v>1952-04</v>
          </cell>
          <cell r="B45">
            <v>181</v>
          </cell>
          <cell r="F45">
            <v>194.68186869947888</v>
          </cell>
        </row>
        <row r="46">
          <cell r="A46" t="str">
            <v>1952-05</v>
          </cell>
          <cell r="B46">
            <v>183</v>
          </cell>
          <cell r="F46">
            <v>179.31272130478203</v>
          </cell>
        </row>
        <row r="47">
          <cell r="A47" t="str">
            <v>1952-06</v>
          </cell>
          <cell r="B47">
            <v>218</v>
          </cell>
          <cell r="F47">
            <v>199.64104465823655</v>
          </cell>
        </row>
        <row r="48">
          <cell r="A48" t="str">
            <v>1952-07</v>
          </cell>
          <cell r="B48">
            <v>230</v>
          </cell>
          <cell r="F48">
            <v>228.77166886784846</v>
          </cell>
        </row>
        <row r="49">
          <cell r="A49" t="str">
            <v>1952-08</v>
          </cell>
          <cell r="B49">
            <v>242</v>
          </cell>
          <cell r="F49">
            <v>227.88927878279739</v>
          </cell>
        </row>
        <row r="50">
          <cell r="A50" t="str">
            <v>1952-09</v>
          </cell>
          <cell r="B50">
            <v>209</v>
          </cell>
          <cell r="F50">
            <v>215.28395050795424</v>
          </cell>
        </row>
        <row r="51">
          <cell r="A51" t="str">
            <v>1952-10</v>
          </cell>
          <cell r="B51">
            <v>191</v>
          </cell>
          <cell r="F51">
            <v>184.70854577635475</v>
          </cell>
        </row>
        <row r="52">
          <cell r="A52" t="str">
            <v>1952-11</v>
          </cell>
          <cell r="B52">
            <v>172</v>
          </cell>
          <cell r="F52">
            <v>164.78746771069834</v>
          </cell>
        </row>
        <row r="53">
          <cell r="A53" t="str">
            <v>1952-12</v>
          </cell>
          <cell r="B53">
            <v>194</v>
          </cell>
          <cell r="F53">
            <v>194.45148057168825</v>
          </cell>
        </row>
        <row r="54">
          <cell r="A54" t="str">
            <v>1953-01</v>
          </cell>
          <cell r="B54">
            <v>196</v>
          </cell>
          <cell r="F54">
            <v>203.22644033158866</v>
          </cell>
        </row>
        <row r="55">
          <cell r="A55" t="str">
            <v>1953-02</v>
          </cell>
          <cell r="B55">
            <v>196</v>
          </cell>
          <cell r="F55">
            <v>214.14770475220431</v>
          </cell>
        </row>
        <row r="56">
          <cell r="A56" t="str">
            <v>1953-03</v>
          </cell>
          <cell r="B56">
            <v>236</v>
          </cell>
          <cell r="F56">
            <v>231.97372444731499</v>
          </cell>
        </row>
        <row r="57">
          <cell r="A57" t="str">
            <v>1953-04</v>
          </cell>
          <cell r="B57">
            <v>235</v>
          </cell>
          <cell r="F57">
            <v>224.93399829378271</v>
          </cell>
        </row>
        <row r="58">
          <cell r="A58" t="str">
            <v>1953-05</v>
          </cell>
          <cell r="B58">
            <v>229</v>
          </cell>
          <cell r="F58">
            <v>223.20941748492788</v>
          </cell>
        </row>
        <row r="59">
          <cell r="A59" t="str">
            <v>1953-06</v>
          </cell>
          <cell r="B59">
            <v>243</v>
          </cell>
          <cell r="F59">
            <v>256.35546513654646</v>
          </cell>
        </row>
        <row r="60">
          <cell r="A60" t="str">
            <v>1953-07</v>
          </cell>
          <cell r="B60">
            <v>264</v>
          </cell>
          <cell r="F60">
            <v>274.93369626765053</v>
          </cell>
        </row>
        <row r="61">
          <cell r="A61" t="str">
            <v>1953-08</v>
          </cell>
          <cell r="B61">
            <v>272</v>
          </cell>
          <cell r="F61">
            <v>270.1180197106018</v>
          </cell>
        </row>
        <row r="62">
          <cell r="A62" t="str">
            <v>1953-09</v>
          </cell>
          <cell r="B62">
            <v>237</v>
          </cell>
          <cell r="F62">
            <v>244.04733956292057</v>
          </cell>
        </row>
        <row r="63">
          <cell r="A63" t="str">
            <v>1953-10</v>
          </cell>
          <cell r="B63">
            <v>211</v>
          </cell>
          <cell r="F63">
            <v>208.98992732659676</v>
          </cell>
        </row>
        <row r="64">
          <cell r="A64" t="str">
            <v>1953-11</v>
          </cell>
          <cell r="B64">
            <v>180</v>
          </cell>
          <cell r="F64">
            <v>182.67659087395833</v>
          </cell>
        </row>
        <row r="65">
          <cell r="A65" t="str">
            <v>1953-12</v>
          </cell>
          <cell r="B65">
            <v>201</v>
          </cell>
          <cell r="F65">
            <v>205.26258839653525</v>
          </cell>
        </row>
        <row r="66">
          <cell r="A66" t="str">
            <v>1954-01</v>
          </cell>
          <cell r="B66">
            <v>204</v>
          </cell>
          <cell r="F66">
            <v>207.13241409393001</v>
          </cell>
        </row>
        <row r="67">
          <cell r="A67" t="str">
            <v>1954-02</v>
          </cell>
          <cell r="B67">
            <v>188</v>
          </cell>
          <cell r="F67">
            <v>213.71173661280986</v>
          </cell>
        </row>
        <row r="68">
          <cell r="A68" t="str">
            <v>1954-03</v>
          </cell>
          <cell r="B68">
            <v>235</v>
          </cell>
          <cell r="F68">
            <v>225.39809070562873</v>
          </cell>
        </row>
        <row r="69">
          <cell r="A69" t="str">
            <v>1954-04</v>
          </cell>
          <cell r="B69">
            <v>227</v>
          </cell>
          <cell r="F69">
            <v>217.08376008608468</v>
          </cell>
        </row>
        <row r="70">
          <cell r="A70" t="str">
            <v>1954-05</v>
          </cell>
          <cell r="B70">
            <v>234</v>
          </cell>
          <cell r="F70">
            <v>210.78800872658081</v>
          </cell>
        </row>
        <row r="71">
          <cell r="A71" t="str">
            <v>1954-06</v>
          </cell>
          <cell r="B71">
            <v>264</v>
          </cell>
          <cell r="F71">
            <v>244.65691807437054</v>
          </cell>
        </row>
        <row r="72">
          <cell r="A72" t="str">
            <v>1954-07</v>
          </cell>
          <cell r="B72">
            <v>302</v>
          </cell>
          <cell r="F72">
            <v>277.64931320585276</v>
          </cell>
        </row>
        <row r="73">
          <cell r="A73" t="str">
            <v>1954-08</v>
          </cell>
          <cell r="B73">
            <v>293</v>
          </cell>
          <cell r="F73">
            <v>294.00541543315416</v>
          </cell>
        </row>
        <row r="74">
          <cell r="A74" t="str">
            <v>1954-09</v>
          </cell>
          <cell r="B74">
            <v>259</v>
          </cell>
          <cell r="F74">
            <v>267.60827513754379</v>
          </cell>
        </row>
        <row r="75">
          <cell r="A75" t="str">
            <v>1954-10</v>
          </cell>
          <cell r="B75">
            <v>229</v>
          </cell>
          <cell r="F75">
            <v>233.83346563499265</v>
          </cell>
        </row>
        <row r="76">
          <cell r="A76" t="str">
            <v>1954-11</v>
          </cell>
          <cell r="B76">
            <v>203</v>
          </cell>
          <cell r="F76">
            <v>203.84775009923132</v>
          </cell>
        </row>
        <row r="77">
          <cell r="A77" t="str">
            <v>1954-12</v>
          </cell>
          <cell r="B77">
            <v>229</v>
          </cell>
          <cell r="F77">
            <v>232.90658903554802</v>
          </cell>
        </row>
        <row r="78">
          <cell r="A78" t="str">
            <v>1955-01</v>
          </cell>
          <cell r="B78">
            <v>242</v>
          </cell>
          <cell r="F78">
            <v>238.85328967696202</v>
          </cell>
        </row>
        <row r="79">
          <cell r="A79" t="str">
            <v>1955-02</v>
          </cell>
          <cell r="B79">
            <v>233</v>
          </cell>
          <cell r="F79">
            <v>249.1844481786033</v>
          </cell>
        </row>
        <row r="80">
          <cell r="A80" t="str">
            <v>1955-03</v>
          </cell>
          <cell r="B80">
            <v>267</v>
          </cell>
          <cell r="F80">
            <v>281.72317271028834</v>
          </cell>
        </row>
        <row r="81">
          <cell r="A81" t="str">
            <v>1955-04</v>
          </cell>
          <cell r="B81">
            <v>269</v>
          </cell>
          <cell r="F81">
            <v>265.55492817827604</v>
          </cell>
        </row>
        <row r="82">
          <cell r="A82" t="str">
            <v>1955-05</v>
          </cell>
          <cell r="B82">
            <v>270</v>
          </cell>
          <cell r="F82">
            <v>260.27357872410346</v>
          </cell>
        </row>
        <row r="83">
          <cell r="A83" t="str">
            <v>1955-06</v>
          </cell>
          <cell r="B83">
            <v>315</v>
          </cell>
          <cell r="F83">
            <v>294.2411191645993</v>
          </cell>
        </row>
        <row r="84">
          <cell r="A84" t="str">
            <v>1955-07</v>
          </cell>
          <cell r="B84">
            <v>364</v>
          </cell>
          <cell r="F84">
            <v>334.59227762164011</v>
          </cell>
        </row>
        <row r="85">
          <cell r="A85" t="str">
            <v>1955-08</v>
          </cell>
          <cell r="B85">
            <v>347</v>
          </cell>
          <cell r="F85">
            <v>350.46217073080101</v>
          </cell>
        </row>
        <row r="86">
          <cell r="A86" t="str">
            <v>1955-09</v>
          </cell>
          <cell r="B86">
            <v>312</v>
          </cell>
          <cell r="F86">
            <v>316.19504336147031</v>
          </cell>
        </row>
        <row r="87">
          <cell r="A87" t="str">
            <v>1955-10</v>
          </cell>
          <cell r="B87">
            <v>274</v>
          </cell>
          <cell r="F87">
            <v>278.66524862984932</v>
          </cell>
        </row>
        <row r="88">
          <cell r="A88" t="str">
            <v>1955-11</v>
          </cell>
          <cell r="B88">
            <v>237</v>
          </cell>
          <cell r="F88">
            <v>243.88393279759745</v>
          </cell>
        </row>
        <row r="89">
          <cell r="A89" t="str">
            <v>1955-12</v>
          </cell>
          <cell r="B89">
            <v>278</v>
          </cell>
          <cell r="F89">
            <v>274.7010085259061</v>
          </cell>
        </row>
        <row r="90">
          <cell r="A90" t="str">
            <v>1956-01</v>
          </cell>
          <cell r="B90">
            <v>284</v>
          </cell>
          <cell r="F90">
            <v>286.44330285310139</v>
          </cell>
        </row>
        <row r="91">
          <cell r="A91" t="str">
            <v>1956-02</v>
          </cell>
          <cell r="B91">
            <v>277</v>
          </cell>
          <cell r="F91">
            <v>292.257088068531</v>
          </cell>
        </row>
        <row r="92">
          <cell r="A92" t="str">
            <v>1956-03</v>
          </cell>
          <cell r="B92">
            <v>317</v>
          </cell>
          <cell r="F92">
            <v>332.08264892144865</v>
          </cell>
        </row>
        <row r="93">
          <cell r="A93" t="str">
            <v>1956-04</v>
          </cell>
          <cell r="B93">
            <v>313</v>
          </cell>
          <cell r="F93">
            <v>316.95617769139596</v>
          </cell>
        </row>
        <row r="94">
          <cell r="A94" t="str">
            <v>1956-05</v>
          </cell>
          <cell r="B94">
            <v>318</v>
          </cell>
          <cell r="F94">
            <v>308.46255436098431</v>
          </cell>
        </row>
        <row r="95">
          <cell r="A95" t="str">
            <v>1956-06</v>
          </cell>
          <cell r="B95">
            <v>374</v>
          </cell>
          <cell r="F95">
            <v>349.6113914214713</v>
          </cell>
        </row>
        <row r="96">
          <cell r="A96" t="str">
            <v>1956-07</v>
          </cell>
          <cell r="B96">
            <v>413</v>
          </cell>
          <cell r="F96">
            <v>399.13234295923746</v>
          </cell>
        </row>
        <row r="97">
          <cell r="A97" t="str">
            <v>1956-08</v>
          </cell>
          <cell r="B97">
            <v>405</v>
          </cell>
          <cell r="F97">
            <v>401.86538336363446</v>
          </cell>
        </row>
        <row r="98">
          <cell r="A98" t="str">
            <v>1956-09</v>
          </cell>
          <cell r="B98">
            <v>355</v>
          </cell>
          <cell r="F98">
            <v>362.98394313511687</v>
          </cell>
        </row>
        <row r="99">
          <cell r="A99" t="str">
            <v>1956-10</v>
          </cell>
          <cell r="B99">
            <v>306</v>
          </cell>
          <cell r="F99">
            <v>316.50869843793032</v>
          </cell>
        </row>
        <row r="100">
          <cell r="A100" t="str">
            <v>1956-11</v>
          </cell>
          <cell r="B100">
            <v>271</v>
          </cell>
          <cell r="F100">
            <v>272.30265103176015</v>
          </cell>
        </row>
        <row r="101">
          <cell r="A101" t="str">
            <v>1956-12</v>
          </cell>
          <cell r="B101">
            <v>306</v>
          </cell>
          <cell r="F101">
            <v>309.68111513702013</v>
          </cell>
        </row>
        <row r="102">
          <cell r="A102" t="str">
            <v>1957-01</v>
          </cell>
          <cell r="B102">
            <v>315</v>
          </cell>
          <cell r="F102">
            <v>316.51275112453163</v>
          </cell>
        </row>
        <row r="103">
          <cell r="A103" t="str">
            <v>1957-02</v>
          </cell>
          <cell r="B103">
            <v>301</v>
          </cell>
          <cell r="F103">
            <v>318.76714610202293</v>
          </cell>
        </row>
        <row r="104">
          <cell r="A104" t="str">
            <v>1957-03</v>
          </cell>
          <cell r="B104">
            <v>356</v>
          </cell>
          <cell r="F104">
            <v>358.63243540295997</v>
          </cell>
        </row>
        <row r="105">
          <cell r="A105" t="str">
            <v>1957-04</v>
          </cell>
          <cell r="B105">
            <v>348</v>
          </cell>
          <cell r="F105">
            <v>347.83477634927868</v>
          </cell>
        </row>
        <row r="106">
          <cell r="A106" t="str">
            <v>1957-05</v>
          </cell>
          <cell r="B106">
            <v>355</v>
          </cell>
          <cell r="F106">
            <v>342.08680575565444</v>
          </cell>
        </row>
        <row r="107">
          <cell r="A107" t="str">
            <v>1957-06</v>
          </cell>
          <cell r="B107">
            <v>422</v>
          </cell>
          <cell r="F107">
            <v>391.64321261326728</v>
          </cell>
        </row>
        <row r="108">
          <cell r="A108" t="str">
            <v>1957-07</v>
          </cell>
          <cell r="B108">
            <v>465</v>
          </cell>
          <cell r="F108">
            <v>447.83593841103794</v>
          </cell>
        </row>
        <row r="109">
          <cell r="A109" t="str">
            <v>1957-08</v>
          </cell>
          <cell r="B109">
            <v>467</v>
          </cell>
          <cell r="F109">
            <v>450.88411075837746</v>
          </cell>
        </row>
        <row r="110">
          <cell r="A110" t="str">
            <v>1957-09</v>
          </cell>
          <cell r="B110">
            <v>404</v>
          </cell>
          <cell r="F110">
            <v>411.6663827673039</v>
          </cell>
        </row>
        <row r="111">
          <cell r="A111" t="str">
            <v>1957-10</v>
          </cell>
          <cell r="B111">
            <v>347</v>
          </cell>
          <cell r="F111">
            <v>359.98901635452614</v>
          </cell>
        </row>
        <row r="112">
          <cell r="A112" t="str">
            <v>1957-11</v>
          </cell>
          <cell r="B112">
            <v>305</v>
          </cell>
          <cell r="F112">
            <v>311.50570716713042</v>
          </cell>
        </row>
        <row r="113">
          <cell r="A113" t="str">
            <v>1957-12</v>
          </cell>
          <cell r="B113">
            <v>336</v>
          </cell>
          <cell r="F113">
            <v>352.12204697311813</v>
          </cell>
        </row>
        <row r="114">
          <cell r="A114" t="str">
            <v>1958-01</v>
          </cell>
          <cell r="B114">
            <v>340</v>
          </cell>
          <cell r="F114">
            <v>354.42357845581307</v>
          </cell>
        </row>
        <row r="115">
          <cell r="A115" t="str">
            <v>1958-02</v>
          </cell>
          <cell r="B115">
            <v>318</v>
          </cell>
          <cell r="F115">
            <v>346.59563361114118</v>
          </cell>
        </row>
        <row r="116">
          <cell r="A116" t="str">
            <v>1958-03</v>
          </cell>
          <cell r="B116">
            <v>362</v>
          </cell>
          <cell r="F116">
            <v>383.96901425354389</v>
          </cell>
        </row>
        <row r="117">
          <cell r="A117" t="str">
            <v>1958-04</v>
          </cell>
          <cell r="B117">
            <v>348</v>
          </cell>
          <cell r="F117">
            <v>359.36870884544521</v>
          </cell>
        </row>
        <row r="118">
          <cell r="A118" t="str">
            <v>1958-05</v>
          </cell>
          <cell r="B118">
            <v>363</v>
          </cell>
          <cell r="F118">
            <v>343.76864959883318</v>
          </cell>
        </row>
        <row r="119">
          <cell r="A119" t="str">
            <v>1958-06</v>
          </cell>
          <cell r="B119">
            <v>435</v>
          </cell>
          <cell r="F119">
            <v>392.23589754847416</v>
          </cell>
        </row>
        <row r="120">
          <cell r="A120" t="str">
            <v>1958-07</v>
          </cell>
          <cell r="B120">
            <v>491</v>
          </cell>
          <cell r="F120">
            <v>446.40813030027749</v>
          </cell>
        </row>
        <row r="121">
          <cell r="A121" t="str">
            <v>1958-08</v>
          </cell>
          <cell r="B121">
            <v>505</v>
          </cell>
          <cell r="F121">
            <v>457.77616002830069</v>
          </cell>
        </row>
        <row r="122">
          <cell r="A122" t="str">
            <v>1958-09</v>
          </cell>
          <cell r="B122">
            <v>404</v>
          </cell>
          <cell r="F122">
            <v>426.14668841637831</v>
          </cell>
        </row>
        <row r="123">
          <cell r="A123" t="str">
            <v>1958-10</v>
          </cell>
          <cell r="B123">
            <v>359</v>
          </cell>
          <cell r="F123">
            <v>364.99834980350369</v>
          </cell>
        </row>
        <row r="124">
          <cell r="A124" t="str">
            <v>1958-11</v>
          </cell>
          <cell r="B124">
            <v>310</v>
          </cell>
          <cell r="F124">
            <v>318.21586920699616</v>
          </cell>
        </row>
        <row r="125">
          <cell r="A125" t="str">
            <v>1958-12</v>
          </cell>
          <cell r="B125">
            <v>337</v>
          </cell>
          <cell r="F125">
            <v>356.48629180312315</v>
          </cell>
        </row>
        <row r="126">
          <cell r="A126" t="str">
            <v>1959-01</v>
          </cell>
          <cell r="B126">
            <v>360</v>
          </cell>
          <cell r="F126">
            <v>356.04906156759705</v>
          </cell>
        </row>
        <row r="127">
          <cell r="A127" t="str">
            <v>1959-02</v>
          </cell>
          <cell r="B127">
            <v>342</v>
          </cell>
          <cell r="F127">
            <v>353.64530434506315</v>
          </cell>
        </row>
        <row r="128">
          <cell r="A128" t="str">
            <v>1959-03</v>
          </cell>
          <cell r="B128">
            <v>406</v>
          </cell>
          <cell r="F128">
            <v>404.02154792926166</v>
          </cell>
        </row>
        <row r="129">
          <cell r="A129" t="str">
            <v>1959-04</v>
          </cell>
          <cell r="B129">
            <v>396</v>
          </cell>
          <cell r="F129">
            <v>395.46453459776012</v>
          </cell>
        </row>
        <row r="130">
          <cell r="A130" t="str">
            <v>1959-05</v>
          </cell>
          <cell r="B130">
            <v>420</v>
          </cell>
          <cell r="F130">
            <v>397.05801417552306</v>
          </cell>
        </row>
        <row r="131">
          <cell r="A131" t="str">
            <v>1959-06</v>
          </cell>
          <cell r="B131">
            <v>472</v>
          </cell>
          <cell r="F131">
            <v>468.97299991337798</v>
          </cell>
        </row>
        <row r="132">
          <cell r="A132" t="str">
            <v>1959-07</v>
          </cell>
          <cell r="B132">
            <v>548</v>
          </cell>
          <cell r="F132">
            <v>520.44450777876273</v>
          </cell>
        </row>
        <row r="133">
          <cell r="A133" t="str">
            <v>1959-08</v>
          </cell>
          <cell r="B133">
            <v>559</v>
          </cell>
          <cell r="F133">
            <v>529.64966581957174</v>
          </cell>
        </row>
        <row r="134">
          <cell r="A134" t="str">
            <v>1959-09</v>
          </cell>
          <cell r="B134">
            <v>463</v>
          </cell>
          <cell r="F134">
            <v>474.08264249698027</v>
          </cell>
        </row>
        <row r="135">
          <cell r="A135" t="str">
            <v>1959-10</v>
          </cell>
          <cell r="B135">
            <v>407</v>
          </cell>
          <cell r="F135">
            <v>413.45149872795815</v>
          </cell>
        </row>
        <row r="136">
          <cell r="A136" t="str">
            <v>1959-11</v>
          </cell>
          <cell r="B136">
            <v>362</v>
          </cell>
          <cell r="F136">
            <v>360.55380385827419</v>
          </cell>
        </row>
        <row r="137">
          <cell r="A137" t="str">
            <v>1959-12</v>
          </cell>
          <cell r="B137">
            <v>405</v>
          </cell>
          <cell r="F137">
            <v>408.5214390968074</v>
          </cell>
        </row>
        <row r="138">
          <cell r="A138" t="str">
            <v>1960-01</v>
          </cell>
          <cell r="B138">
            <v>417</v>
          </cell>
          <cell r="F138">
            <v>423.60969161630084</v>
          </cell>
        </row>
        <row r="139">
          <cell r="A139" t="str">
            <v>1960-02</v>
          </cell>
          <cell r="B139">
            <v>391</v>
          </cell>
          <cell r="F139">
            <v>416.46932405945887</v>
          </cell>
        </row>
        <row r="140">
          <cell r="A140" t="str">
            <v>1960-03</v>
          </cell>
          <cell r="B140">
            <v>419</v>
          </cell>
          <cell r="F140">
            <v>474.41853684513728</v>
          </cell>
        </row>
        <row r="141">
          <cell r="A141" t="str">
            <v>1960-04</v>
          </cell>
          <cell r="B141">
            <v>461</v>
          </cell>
          <cell r="F141">
            <v>436.79415294295393</v>
          </cell>
        </row>
        <row r="142">
          <cell r="A142" t="str">
            <v>1960-05</v>
          </cell>
          <cell r="B142">
            <v>472</v>
          </cell>
          <cell r="F142">
            <v>450.0677615620566</v>
          </cell>
        </row>
        <row r="143">
          <cell r="A143" t="str">
            <v>1960-06</v>
          </cell>
          <cell r="B143">
            <v>535</v>
          </cell>
          <cell r="F143">
            <v>524.01238713569296</v>
          </cell>
        </row>
        <row r="144">
          <cell r="A144" t="str">
            <v>1960-07</v>
          </cell>
          <cell r="B144">
            <v>622</v>
          </cell>
          <cell r="F144">
            <v>587.39932781030086</v>
          </cell>
        </row>
        <row r="145">
          <cell r="A145" t="str">
            <v>1960-08</v>
          </cell>
          <cell r="B145">
            <v>606</v>
          </cell>
          <cell r="F145">
            <v>599.19318601871123</v>
          </cell>
        </row>
        <row r="146">
          <cell r="A146" t="str">
            <v>1960-09</v>
          </cell>
          <cell r="B146">
            <v>508</v>
          </cell>
          <cell r="F146">
            <v>517.7827748137438</v>
          </cell>
        </row>
        <row r="147">
          <cell r="A147" t="str">
            <v>1960-10</v>
          </cell>
          <cell r="B147">
            <v>461</v>
          </cell>
          <cell r="F147">
            <v>449.39280792343874</v>
          </cell>
        </row>
        <row r="148">
          <cell r="A148" t="str">
            <v>1960-11</v>
          </cell>
          <cell r="B148">
            <v>390</v>
          </cell>
          <cell r="F148">
            <v>398.55359855656803</v>
          </cell>
        </row>
        <row r="149">
          <cell r="A149" t="str">
            <v>1960-12</v>
          </cell>
          <cell r="B149">
            <v>432</v>
          </cell>
          <cell r="F149">
            <v>443.87865183283373</v>
          </cell>
        </row>
        <row r="150">
          <cell r="A150" t="str">
            <v>1961-01</v>
          </cell>
          <cell r="F150">
            <v>442.74626264670769</v>
          </cell>
        </row>
        <row r="151">
          <cell r="A151" t="str">
            <v>1961-02</v>
          </cell>
          <cell r="F151">
            <v>519.07538391927858</v>
          </cell>
        </row>
        <row r="152">
          <cell r="A152" t="str">
            <v>1961-03</v>
          </cell>
          <cell r="F152">
            <v>524.24721547996842</v>
          </cell>
        </row>
        <row r="153">
          <cell r="A153" t="str">
            <v>1961-04</v>
          </cell>
          <cell r="F153">
            <v>528.30774184006896</v>
          </cell>
        </row>
        <row r="154">
          <cell r="A154" t="str">
            <v>1961-05</v>
          </cell>
          <cell r="F154">
            <v>532.65473031031286</v>
          </cell>
        </row>
        <row r="155">
          <cell r="A155" t="str">
            <v>1961-06</v>
          </cell>
          <cell r="F155">
            <v>540.19925969945939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tered"/>
      <sheetName val="trailing"/>
    </sheetNames>
    <sheetDataSet>
      <sheetData sheetId="0">
        <row r="1">
          <cell r="B1" t="str">
            <v xml:space="preserve">Number of Births </v>
          </cell>
          <cell r="C1" t="str">
            <v xml:space="preserve">3- Moving </v>
          </cell>
          <cell r="D1" t="str">
            <v>5- Moving</v>
          </cell>
        </row>
        <row r="2">
          <cell r="A2" t="str">
            <v>January</v>
          </cell>
          <cell r="B2">
            <v>10</v>
          </cell>
        </row>
        <row r="3">
          <cell r="A3" t="str">
            <v>Febuary</v>
          </cell>
          <cell r="B3">
            <v>12</v>
          </cell>
          <cell r="C3">
            <v>9.3333333333333339</v>
          </cell>
        </row>
        <row r="4">
          <cell r="A4" t="str">
            <v>March</v>
          </cell>
          <cell r="B4">
            <v>6</v>
          </cell>
          <cell r="C4">
            <v>7.666666666666667</v>
          </cell>
          <cell r="D4">
            <v>11</v>
          </cell>
        </row>
        <row r="5">
          <cell r="A5" t="str">
            <v>April</v>
          </cell>
          <cell r="B5">
            <v>5</v>
          </cell>
          <cell r="C5">
            <v>11</v>
          </cell>
          <cell r="D5">
            <v>12.6</v>
          </cell>
        </row>
        <row r="6">
          <cell r="A6" t="str">
            <v>May</v>
          </cell>
          <cell r="B6">
            <v>22</v>
          </cell>
          <cell r="C6">
            <v>15</v>
          </cell>
          <cell r="D6">
            <v>12.8</v>
          </cell>
        </row>
        <row r="7">
          <cell r="A7" t="str">
            <v>June</v>
          </cell>
          <cell r="B7">
            <v>18</v>
          </cell>
          <cell r="C7">
            <v>17.666666666666668</v>
          </cell>
          <cell r="D7">
            <v>13</v>
          </cell>
        </row>
        <row r="8">
          <cell r="A8" t="str">
            <v>July</v>
          </cell>
          <cell r="B8">
            <v>13</v>
          </cell>
          <cell r="C8">
            <v>12.666666666666666</v>
          </cell>
          <cell r="D8">
            <v>13.8</v>
          </cell>
        </row>
        <row r="9">
          <cell r="A9" t="str">
            <v>August</v>
          </cell>
          <cell r="B9">
            <v>7</v>
          </cell>
          <cell r="C9">
            <v>9.6666666666666661</v>
          </cell>
          <cell r="D9">
            <v>11.4</v>
          </cell>
        </row>
        <row r="10">
          <cell r="A10" t="str">
            <v>September</v>
          </cell>
          <cell r="B10">
            <v>9</v>
          </cell>
          <cell r="C10">
            <v>8.6666666666666661</v>
          </cell>
          <cell r="D10">
            <v>9.4</v>
          </cell>
        </row>
        <row r="11">
          <cell r="A11" t="str">
            <v>October</v>
          </cell>
          <cell r="B11">
            <v>10</v>
          </cell>
          <cell r="C11">
            <v>9</v>
          </cell>
          <cell r="D11">
            <v>9.8000000000000007</v>
          </cell>
        </row>
        <row r="12">
          <cell r="A12" t="str">
            <v>November</v>
          </cell>
          <cell r="B12">
            <v>8</v>
          </cell>
          <cell r="C12">
            <v>11</v>
          </cell>
        </row>
        <row r="13">
          <cell r="A13" t="str">
            <v>December</v>
          </cell>
          <cell r="B13">
            <v>15</v>
          </cell>
        </row>
      </sheetData>
      <sheetData sheetId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17:48:17.4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40 57 1560,'-17'-9'3936,"-2"-1"-2264,19 10-1652,0 0 0,0 0 0,-1-1 0,1 1 0,0 0 0,0 0 0,0 0 1,0 0-1,-1 0 0,1 0 0,0-1 0,0 1 0,0 0 0,0 0 0,-1 0 0,1 0 0,0-1 0,0 1 1,0 0-1,0 0 0,0 0 0,0-1 0,0 1 0,0 0 0,0 0 0,0 0 0,0-1 0,0 1 0,0 0 0,0 0 1,0-1-1,0 1 0,0 0 0,0 0 0,0 0 0,0-1 0,0 1 0,0 0 0,0 0 0,0 0 0,0-1 1,0 1-1,0 0 0,1 0 0,-1 0 0,0-1 0,0 1 0,0 0 0,0 0 0,1 0 0,-1 0 0,0 0 1,0 0-1,1-1 0,11-7-144,12-7-829,-7 10-4402,-14 5 3714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17:48:17.5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0 360,'5'6'4124,"4"5"-6811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17:48:17.5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 18 444,'1'-6'3889,"-1"-6"-2766,-6 17-4073,4-4 1592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17:48:17.5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 0 288,'11'48'455,"2"-1"0,2 0 0,2-1-1,41 76 1,-45-94 1099,-18-27-377,-9-12-789,12 9-419,0 1 0,0 1 0,0-1 0,0 0 0,0 0 0,0 1 0,0-1 0,0 1 0,0-1 0,-1 1 0,1 0 0,0 0 0,0 0 0,0 0 0,0 1 0,0-1 0,0 0 0,-4 2 0,-40 13-1737,41-13 1416,-24 9-1092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18:17:16.5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0 356,'10'4'5060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18:17:16.5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35 21 772,'-13'2'11635,"2"5"-6448,11-6-5084,-10 7 1808,30-38-18839,-18 21 14332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18:17:16.5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3 168,'17'-2'6696,"-19"3"-6557,1-1-1218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18:19:25.8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 7 736,'-2'0'1040,"0"-1"-196,0 1-196,0 0-204,0-2-208,0 0-236,2 0-912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18:19:25.8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 28 1340,'4'1'11857,"-11"1"-6563,4 0-4502,2-22-15007,-4 15 11722,-1-2 114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18:19:25.8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1 376,'3'3'454,"-2"-3"-298,-1 0 0,1 0 1,-1 0-1,1 0 0,-1 1 1,0-1-1,1 0 0,-1 1 1,1-1-1,-1 0 0,0 1 1,1-1-1,-1 0 0,0 1 1,1-1-1,-1 1 0,0-1 1,1 1-1,-1-1 0,0 0 1,0 1-1,0-1 0,0 1 1,1-1-1,-1 1 0,0-1 1,0 1-1,0-1 0,0 1 1,0 0-1,0-1 0,0 1 1,0-1-1,0 1 0,-1-1 1,1 1-1,0-1 0,0 1 1,-4 4 424,8-8-931,-4 2 144,1 1 0,-1 0 0,1-1 1,-1 1-1,0 0 0,1-1 1,-1 1-1,1-1 0,-1 1 1,0-1-1,1 1 0,-1-1 1,0 1-1,0-1 0,1 1 0,-1-1 1,0 1-1,0-1 0,0 1 1,0-1-1,0 1 0,0-1 1,1 0-1,-5-3-1507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1C3B-94E8-4B19-9667-D6E3DD09DEB2}">
  <dimension ref="A2:F18"/>
  <sheetViews>
    <sheetView workbookViewId="0">
      <selection activeCell="H27" sqref="H27"/>
    </sheetView>
  </sheetViews>
  <sheetFormatPr defaultRowHeight="12.6" customHeight="1" x14ac:dyDescent="0.25"/>
  <cols>
    <col min="1" max="16384" width="8.88671875" style="1"/>
  </cols>
  <sheetData>
    <row r="2" spans="1:6" ht="10.8" x14ac:dyDescent="0.25">
      <c r="C2" s="1" t="s">
        <v>0</v>
      </c>
      <c r="D2" s="1">
        <v>0.2</v>
      </c>
    </row>
    <row r="3" spans="1:6" ht="10.8" x14ac:dyDescent="0.25"/>
    <row r="4" spans="1:6" ht="10.8" x14ac:dyDescent="0.25">
      <c r="A4" s="1" t="s">
        <v>1</v>
      </c>
      <c r="B4" s="1" t="s">
        <v>2</v>
      </c>
      <c r="D4" s="2" t="s">
        <v>3</v>
      </c>
    </row>
    <row r="5" spans="1:6" ht="12.6" customHeight="1" x14ac:dyDescent="0.3">
      <c r="A5" s="3">
        <v>36069</v>
      </c>
      <c r="B5" s="1">
        <v>6.35</v>
      </c>
      <c r="D5" s="4">
        <f>B5</f>
        <v>6.35</v>
      </c>
      <c r="E5" s="4"/>
      <c r="F5" s="5"/>
    </row>
    <row r="6" spans="1:6" ht="12.6" customHeight="1" x14ac:dyDescent="0.3">
      <c r="A6" s="3">
        <v>36100</v>
      </c>
      <c r="B6" s="1">
        <v>5.36</v>
      </c>
      <c r="D6" s="4">
        <f>$D$2*B5+(1-$D$2)*D5</f>
        <v>6.35</v>
      </c>
      <c r="E6" s="4"/>
      <c r="F6" s="5"/>
    </row>
    <row r="7" spans="1:6" ht="12.6" customHeight="1" x14ac:dyDescent="0.3">
      <c r="A7" s="3">
        <v>36130</v>
      </c>
      <c r="B7" s="1">
        <v>5.25</v>
      </c>
      <c r="D7" s="4">
        <f>$D$2*B6+(1-$D$2)*D6</f>
        <v>6.1520000000000001</v>
      </c>
      <c r="E7" s="4"/>
      <c r="F7" s="5"/>
    </row>
    <row r="8" spans="1:6" ht="12.6" customHeight="1" x14ac:dyDescent="0.3">
      <c r="A8" s="3">
        <v>36161</v>
      </c>
      <c r="B8" s="1">
        <v>4.9400000000000004</v>
      </c>
      <c r="D8" s="4">
        <f t="shared" ref="D8:D12" si="0">$D$2*B7+(1-$D$2)*D7</f>
        <v>5.9716000000000005</v>
      </c>
      <c r="E8" s="4"/>
      <c r="F8" s="5"/>
    </row>
    <row r="9" spans="1:6" ht="12.6" customHeight="1" x14ac:dyDescent="0.3">
      <c r="A9" s="3">
        <v>36192</v>
      </c>
      <c r="B9" s="1">
        <v>5.13</v>
      </c>
      <c r="D9" s="4">
        <f t="shared" si="0"/>
        <v>5.7652800000000006</v>
      </c>
      <c r="E9" s="4"/>
      <c r="F9" s="5"/>
    </row>
    <row r="10" spans="1:6" ht="12.6" customHeight="1" x14ac:dyDescent="0.3">
      <c r="A10" s="3">
        <v>36220</v>
      </c>
      <c r="B10" s="1">
        <v>5.63</v>
      </c>
      <c r="D10" s="4">
        <f t="shared" si="0"/>
        <v>5.6382240000000001</v>
      </c>
      <c r="E10" s="4"/>
      <c r="F10" s="5"/>
    </row>
    <row r="11" spans="1:6" ht="12.6" customHeight="1" x14ac:dyDescent="0.3">
      <c r="A11" s="3">
        <v>36251</v>
      </c>
      <c r="B11" s="1">
        <v>5.35</v>
      </c>
      <c r="D11" s="4">
        <f>$D$2*B10+(1-$D$2)*D10</f>
        <v>5.6365792000000008</v>
      </c>
      <c r="E11" s="4"/>
      <c r="F11" s="5"/>
    </row>
    <row r="12" spans="1:6" ht="12.6" customHeight="1" x14ac:dyDescent="0.3">
      <c r="A12" s="3">
        <v>36281</v>
      </c>
      <c r="B12" s="1">
        <v>5.75</v>
      </c>
      <c r="D12" s="4">
        <f t="shared" si="0"/>
        <v>5.5792633600000014</v>
      </c>
      <c r="E12" s="4"/>
      <c r="F12" s="5"/>
    </row>
    <row r="13" spans="1:6" ht="12.6" customHeight="1" x14ac:dyDescent="0.3">
      <c r="A13" s="3">
        <v>36312</v>
      </c>
      <c r="B13" s="1">
        <v>5.26</v>
      </c>
      <c r="D13" s="4">
        <f>$D$2*B12+(1-$D$2)*D12</f>
        <v>5.6134106880000019</v>
      </c>
      <c r="E13" s="4"/>
      <c r="F13" s="5"/>
    </row>
    <row r="14" spans="1:6" ht="12.6" customHeight="1" x14ac:dyDescent="0.3">
      <c r="A14" s="6">
        <v>36342</v>
      </c>
      <c r="D14" s="4">
        <f>$D$2*$B$13+(1-$D$2)*D13</f>
        <v>5.5427285504000015</v>
      </c>
      <c r="E14" s="4"/>
      <c r="F14" s="5"/>
    </row>
    <row r="15" spans="1:6" ht="12.6" customHeight="1" x14ac:dyDescent="0.3">
      <c r="A15" s="6">
        <v>36373</v>
      </c>
      <c r="D15" s="4">
        <f>$D$2*$B$13+(1-$D$2)*D14</f>
        <v>5.4861828403200015</v>
      </c>
      <c r="F15" s="5"/>
    </row>
    <row r="16" spans="1:6" ht="12.6" customHeight="1" x14ac:dyDescent="0.3">
      <c r="A16" s="6">
        <v>36404</v>
      </c>
      <c r="D16" s="4">
        <f>$D$2*$B$13+(1-$D$2)*D15</f>
        <v>5.4409462722560011</v>
      </c>
      <c r="F16" s="5"/>
    </row>
    <row r="17" spans="1:6" ht="12.6" customHeight="1" x14ac:dyDescent="0.3">
      <c r="A17" s="6">
        <v>36434</v>
      </c>
      <c r="D17" s="4">
        <f>$D$2*$B$13+(1-$D$2)*D16</f>
        <v>5.4047570178048012</v>
      </c>
      <c r="F17" s="5"/>
    </row>
    <row r="18" spans="1:6" ht="10.8" x14ac:dyDescent="0.25">
      <c r="D18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A69F0-63B4-46A1-8E62-722FCBE0D62E}">
  <dimension ref="A1:F47"/>
  <sheetViews>
    <sheetView topLeftCell="A11" workbookViewId="0">
      <selection activeCell="F47" sqref="F47"/>
    </sheetView>
  </sheetViews>
  <sheetFormatPr defaultRowHeight="10.8" x14ac:dyDescent="0.25"/>
  <cols>
    <col min="1" max="1" width="6.44140625" style="1" bestFit="1" customWidth="1"/>
    <col min="2" max="2" width="36.5546875" style="1" bestFit="1" customWidth="1"/>
    <col min="3" max="16384" width="8.88671875" style="1"/>
  </cols>
  <sheetData>
    <row r="1" spans="1:6" x14ac:dyDescent="0.25">
      <c r="B1" s="1" t="s">
        <v>4</v>
      </c>
      <c r="C1" s="1">
        <v>0.7</v>
      </c>
    </row>
    <row r="2" spans="1:6" x14ac:dyDescent="0.25">
      <c r="C2" s="1" t="s">
        <v>5</v>
      </c>
      <c r="D2" s="1">
        <v>0.6</v>
      </c>
    </row>
    <row r="5" spans="1:6" x14ac:dyDescent="0.25">
      <c r="A5" s="1" t="s">
        <v>6</v>
      </c>
      <c r="B5" s="1" t="s">
        <v>7</v>
      </c>
      <c r="D5" s="1" t="s">
        <v>8</v>
      </c>
      <c r="E5" s="1" t="s">
        <v>9</v>
      </c>
      <c r="F5" s="1" t="s">
        <v>10</v>
      </c>
    </row>
    <row r="6" spans="1:6" x14ac:dyDescent="0.25">
      <c r="A6" s="7">
        <v>45292</v>
      </c>
      <c r="B6" s="1">
        <v>266</v>
      </c>
    </row>
    <row r="7" spans="1:6" x14ac:dyDescent="0.25">
      <c r="A7" s="7">
        <v>45323</v>
      </c>
      <c r="B7" s="1">
        <v>145.9</v>
      </c>
      <c r="D7" s="2">
        <f>B6</f>
        <v>266</v>
      </c>
      <c r="E7" s="2">
        <f>B7-B6</f>
        <v>-120.1</v>
      </c>
    </row>
    <row r="8" spans="1:6" x14ac:dyDescent="0.25">
      <c r="A8" s="7">
        <v>45352</v>
      </c>
      <c r="B8" s="1">
        <v>183.1</v>
      </c>
      <c r="D8" s="1">
        <f>$C$1*B8+(1-$C$1)*(D7+E7)</f>
        <v>171.94</v>
      </c>
      <c r="E8" s="1">
        <f>$D$2*(D8-D7)+(1-$D$2)*E7</f>
        <v>-104.476</v>
      </c>
      <c r="F8" s="1">
        <f>D7+E7</f>
        <v>145.9</v>
      </c>
    </row>
    <row r="9" spans="1:6" x14ac:dyDescent="0.25">
      <c r="A9" s="7">
        <v>45383</v>
      </c>
      <c r="B9" s="1">
        <v>119.3</v>
      </c>
      <c r="D9" s="1">
        <f t="shared" ref="D9:D41" si="0">$C$1*B9+(1-$C$1)*(D8+E8)</f>
        <v>103.7492</v>
      </c>
      <c r="E9" s="1">
        <f t="shared" ref="E9:E41" si="1">$D$2*(D9-D8)+(1-$D$2)*E8</f>
        <v>-82.704880000000003</v>
      </c>
      <c r="F9" s="1">
        <f t="shared" ref="F9:F42" si="2">D8+E8</f>
        <v>67.463999999999999</v>
      </c>
    </row>
    <row r="10" spans="1:6" x14ac:dyDescent="0.25">
      <c r="A10" s="7">
        <v>45413</v>
      </c>
      <c r="B10" s="1">
        <v>180.3</v>
      </c>
      <c r="D10" s="1">
        <f t="shared" si="0"/>
        <v>132.52329599999999</v>
      </c>
      <c r="E10" s="1">
        <f t="shared" si="1"/>
        <v>-15.817494400000012</v>
      </c>
      <c r="F10" s="1">
        <f t="shared" si="2"/>
        <v>21.044319999999999</v>
      </c>
    </row>
    <row r="11" spans="1:6" x14ac:dyDescent="0.25">
      <c r="A11" s="7">
        <v>45444</v>
      </c>
      <c r="B11" s="1">
        <v>168.5</v>
      </c>
      <c r="D11" s="1">
        <f t="shared" si="0"/>
        <v>152.96174048</v>
      </c>
      <c r="E11" s="1">
        <f t="shared" si="1"/>
        <v>5.9360689280000045</v>
      </c>
      <c r="F11" s="1">
        <f t="shared" si="2"/>
        <v>116.70580159999997</v>
      </c>
    </row>
    <row r="12" spans="1:6" x14ac:dyDescent="0.25">
      <c r="A12" s="7">
        <v>45474</v>
      </c>
      <c r="B12" s="1">
        <v>231.8</v>
      </c>
      <c r="D12" s="1">
        <f t="shared" si="0"/>
        <v>209.9293428224</v>
      </c>
      <c r="E12" s="1">
        <f t="shared" si="1"/>
        <v>36.554988976639997</v>
      </c>
      <c r="F12" s="1">
        <f t="shared" si="2"/>
        <v>158.897809408</v>
      </c>
    </row>
    <row r="13" spans="1:6" x14ac:dyDescent="0.25">
      <c r="A13" s="7">
        <v>45505</v>
      </c>
      <c r="B13" s="1">
        <v>224.5</v>
      </c>
      <c r="D13" s="1">
        <f t="shared" si="0"/>
        <v>231.09529953971199</v>
      </c>
      <c r="E13" s="1">
        <f t="shared" si="1"/>
        <v>27.321569621043189</v>
      </c>
      <c r="F13" s="1">
        <f t="shared" si="2"/>
        <v>246.48433179904001</v>
      </c>
    </row>
    <row r="14" spans="1:6" x14ac:dyDescent="0.25">
      <c r="A14" s="7">
        <v>45536</v>
      </c>
      <c r="B14" s="1">
        <v>192.8</v>
      </c>
      <c r="D14" s="1">
        <f t="shared" si="0"/>
        <v>212.48506074822657</v>
      </c>
      <c r="E14" s="1">
        <f t="shared" si="1"/>
        <v>-0.23751542647397272</v>
      </c>
      <c r="F14" s="1">
        <f t="shared" si="2"/>
        <v>258.4168691607552</v>
      </c>
    </row>
    <row r="15" spans="1:6" x14ac:dyDescent="0.25">
      <c r="A15" s="7">
        <v>45566</v>
      </c>
      <c r="B15" s="1">
        <v>122.9</v>
      </c>
      <c r="D15" s="1">
        <f t="shared" si="0"/>
        <v>149.70426359652578</v>
      </c>
      <c r="E15" s="1">
        <f t="shared" si="1"/>
        <v>-37.763484461610069</v>
      </c>
      <c r="F15" s="1">
        <f t="shared" si="2"/>
        <v>212.2475453217526</v>
      </c>
    </row>
    <row r="16" spans="1:6" x14ac:dyDescent="0.25">
      <c r="A16" s="7">
        <v>45597</v>
      </c>
      <c r="B16" s="1">
        <v>336.5</v>
      </c>
      <c r="D16" s="1">
        <f t="shared" si="0"/>
        <v>269.1322337404747</v>
      </c>
      <c r="E16" s="1">
        <f t="shared" si="1"/>
        <v>56.551388301725318</v>
      </c>
      <c r="F16" s="1">
        <f t="shared" si="2"/>
        <v>111.94077913491572</v>
      </c>
    </row>
    <row r="17" spans="1:6" x14ac:dyDescent="0.25">
      <c r="A17" s="7">
        <v>45627</v>
      </c>
      <c r="B17" s="1">
        <v>185.9</v>
      </c>
      <c r="D17" s="1">
        <f t="shared" si="0"/>
        <v>227.83508661266001</v>
      </c>
      <c r="E17" s="1">
        <f t="shared" si="1"/>
        <v>-2.1577329559986858</v>
      </c>
      <c r="F17" s="1">
        <f t="shared" si="2"/>
        <v>325.6836220422</v>
      </c>
    </row>
    <row r="18" spans="1:6" x14ac:dyDescent="0.25">
      <c r="A18" s="7">
        <v>45293</v>
      </c>
      <c r="B18" s="1">
        <v>194.3</v>
      </c>
      <c r="D18" s="1">
        <f t="shared" si="0"/>
        <v>203.71320609699842</v>
      </c>
      <c r="E18" s="1">
        <f t="shared" si="1"/>
        <v>-15.336221491796426</v>
      </c>
      <c r="F18" s="1">
        <f t="shared" si="2"/>
        <v>225.67735365666132</v>
      </c>
    </row>
    <row r="19" spans="1:6" x14ac:dyDescent="0.25">
      <c r="A19" s="7">
        <v>45324</v>
      </c>
      <c r="B19" s="1">
        <v>149.5</v>
      </c>
      <c r="D19" s="1">
        <f t="shared" si="0"/>
        <v>161.16309538156059</v>
      </c>
      <c r="E19" s="1">
        <f t="shared" si="1"/>
        <v>-31.664555025981265</v>
      </c>
      <c r="F19" s="1">
        <f t="shared" si="2"/>
        <v>188.37698460520198</v>
      </c>
    </row>
    <row r="20" spans="1:6" x14ac:dyDescent="0.25">
      <c r="A20" s="7">
        <v>45353</v>
      </c>
      <c r="B20" s="1">
        <v>210.1</v>
      </c>
      <c r="D20" s="1">
        <f t="shared" si="0"/>
        <v>185.91956210667379</v>
      </c>
      <c r="E20" s="1">
        <f t="shared" si="1"/>
        <v>2.1880580246754118</v>
      </c>
      <c r="F20" s="1">
        <f>D19+E19</f>
        <v>129.49854035557934</v>
      </c>
    </row>
    <row r="21" spans="1:6" x14ac:dyDescent="0.25">
      <c r="A21" s="7">
        <v>45384</v>
      </c>
      <c r="B21" s="1">
        <v>273.3</v>
      </c>
      <c r="D21" s="1">
        <f t="shared" si="0"/>
        <v>247.74228603940477</v>
      </c>
      <c r="E21" s="1">
        <f t="shared" si="1"/>
        <v>37.968857569508749</v>
      </c>
      <c r="F21" s="1">
        <f t="shared" si="2"/>
        <v>188.10762013134919</v>
      </c>
    </row>
    <row r="22" spans="1:6" x14ac:dyDescent="0.25">
      <c r="A22" s="7">
        <v>45414</v>
      </c>
      <c r="B22" s="1">
        <v>191.4</v>
      </c>
      <c r="D22" s="1">
        <f t="shared" si="0"/>
        <v>219.69334308267406</v>
      </c>
      <c r="E22" s="1">
        <f t="shared" si="1"/>
        <v>-1.6418227462349257</v>
      </c>
      <c r="F22" s="1">
        <f t="shared" si="2"/>
        <v>285.71114360891352</v>
      </c>
    </row>
    <row r="23" spans="1:6" x14ac:dyDescent="0.25">
      <c r="A23" s="7">
        <v>45445</v>
      </c>
      <c r="B23" s="1">
        <v>287</v>
      </c>
      <c r="D23" s="1">
        <f t="shared" si="0"/>
        <v>266.31545610093173</v>
      </c>
      <c r="E23" s="1">
        <f t="shared" si="1"/>
        <v>27.31653871246063</v>
      </c>
      <c r="F23" s="1">
        <f t="shared" si="2"/>
        <v>218.05152033643913</v>
      </c>
    </row>
    <row r="24" spans="1:6" x14ac:dyDescent="0.25">
      <c r="A24" s="7">
        <v>45475</v>
      </c>
      <c r="B24" s="1">
        <v>226</v>
      </c>
      <c r="D24" s="1">
        <f t="shared" si="0"/>
        <v>246.28959844401771</v>
      </c>
      <c r="E24" s="1">
        <f t="shared" si="1"/>
        <v>-1.0888991091641547</v>
      </c>
      <c r="F24" s="1">
        <f t="shared" si="2"/>
        <v>293.63199481339234</v>
      </c>
    </row>
    <row r="25" spans="1:6" x14ac:dyDescent="0.25">
      <c r="A25" s="7">
        <v>45506</v>
      </c>
      <c r="B25" s="1">
        <v>303.60000000000002</v>
      </c>
      <c r="D25" s="1">
        <f t="shared" si="0"/>
        <v>286.08020980045609</v>
      </c>
      <c r="E25" s="1">
        <f t="shared" si="1"/>
        <v>23.438807170197361</v>
      </c>
      <c r="F25" s="1">
        <f t="shared" si="2"/>
        <v>245.20069933485357</v>
      </c>
    </row>
    <row r="26" spans="1:6" x14ac:dyDescent="0.25">
      <c r="A26" s="7">
        <v>45537</v>
      </c>
      <c r="B26" s="1">
        <v>289.89999999999998</v>
      </c>
      <c r="D26" s="1">
        <f t="shared" si="0"/>
        <v>295.78570509119606</v>
      </c>
      <c r="E26" s="1">
        <f t="shared" si="1"/>
        <v>15.198820042522929</v>
      </c>
      <c r="F26" s="1">
        <f t="shared" si="2"/>
        <v>309.51901697065347</v>
      </c>
    </row>
    <row r="27" spans="1:6" x14ac:dyDescent="0.25">
      <c r="A27" s="7">
        <v>45567</v>
      </c>
      <c r="B27" s="1">
        <v>421.6</v>
      </c>
      <c r="D27" s="1">
        <f t="shared" si="0"/>
        <v>388.41535754011574</v>
      </c>
      <c r="E27" s="1">
        <f t="shared" si="1"/>
        <v>61.657319486360976</v>
      </c>
      <c r="F27" s="1">
        <f t="shared" si="2"/>
        <v>310.98452513371899</v>
      </c>
    </row>
    <row r="28" spans="1:6" x14ac:dyDescent="0.25">
      <c r="A28" s="7">
        <v>45598</v>
      </c>
      <c r="B28" s="1">
        <v>264.5</v>
      </c>
      <c r="D28" s="1">
        <f t="shared" si="0"/>
        <v>320.17180310794299</v>
      </c>
      <c r="E28" s="1">
        <f t="shared" si="1"/>
        <v>-16.283204864759252</v>
      </c>
      <c r="F28" s="1">
        <f t="shared" si="2"/>
        <v>450.0726770264767</v>
      </c>
    </row>
    <row r="29" spans="1:6" x14ac:dyDescent="0.25">
      <c r="A29" s="7">
        <v>45628</v>
      </c>
      <c r="B29" s="1">
        <v>342.3</v>
      </c>
      <c r="D29" s="1">
        <f t="shared" si="0"/>
        <v>330.77657947295512</v>
      </c>
      <c r="E29" s="1">
        <f t="shared" si="1"/>
        <v>-0.15041612689642481</v>
      </c>
      <c r="F29" s="1">
        <f t="shared" si="2"/>
        <v>303.88859824318376</v>
      </c>
    </row>
    <row r="30" spans="1:6" x14ac:dyDescent="0.25">
      <c r="A30" s="7">
        <v>45294</v>
      </c>
      <c r="B30" s="1">
        <v>339.7</v>
      </c>
      <c r="D30" s="1">
        <f t="shared" si="0"/>
        <v>336.9778490038176</v>
      </c>
      <c r="E30" s="1">
        <f t="shared" si="1"/>
        <v>3.6605952677589153</v>
      </c>
      <c r="F30" s="1">
        <f t="shared" si="2"/>
        <v>330.62616334605872</v>
      </c>
    </row>
    <row r="31" spans="1:6" x14ac:dyDescent="0.25">
      <c r="A31" s="7">
        <v>45325</v>
      </c>
      <c r="B31" s="1">
        <v>440.4</v>
      </c>
      <c r="D31" s="1">
        <f t="shared" si="0"/>
        <v>410.47153328147294</v>
      </c>
      <c r="E31" s="1">
        <f t="shared" si="1"/>
        <v>45.560448673696776</v>
      </c>
      <c r="F31" s="1">
        <f t="shared" si="2"/>
        <v>340.63844427157653</v>
      </c>
    </row>
    <row r="32" spans="1:6" x14ac:dyDescent="0.25">
      <c r="A32" s="7">
        <v>45354</v>
      </c>
      <c r="B32" s="1">
        <v>315.89999999999998</v>
      </c>
      <c r="D32" s="1">
        <f t="shared" si="0"/>
        <v>357.93959458655092</v>
      </c>
      <c r="E32" s="1">
        <f t="shared" si="1"/>
        <v>-13.2949837474745</v>
      </c>
      <c r="F32" s="1">
        <f t="shared" si="2"/>
        <v>456.03198195516973</v>
      </c>
    </row>
    <row r="33" spans="1:6" x14ac:dyDescent="0.25">
      <c r="A33" s="7">
        <v>45385</v>
      </c>
      <c r="B33" s="1">
        <v>439.3</v>
      </c>
      <c r="D33" s="1">
        <f t="shared" si="0"/>
        <v>410.90338325172297</v>
      </c>
      <c r="E33" s="1">
        <f t="shared" si="1"/>
        <v>26.460279700113425</v>
      </c>
      <c r="F33" s="1">
        <f t="shared" si="2"/>
        <v>344.64461083907645</v>
      </c>
    </row>
    <row r="34" spans="1:6" x14ac:dyDescent="0.25">
      <c r="A34" s="7">
        <v>45415</v>
      </c>
      <c r="B34" s="1">
        <v>401.3</v>
      </c>
      <c r="D34" s="1">
        <f t="shared" si="0"/>
        <v>412.1190988855509</v>
      </c>
      <c r="E34" s="1">
        <f t="shared" si="1"/>
        <v>11.313541260342125</v>
      </c>
      <c r="F34" s="1">
        <f t="shared" si="2"/>
        <v>437.36366295183637</v>
      </c>
    </row>
    <row r="35" spans="1:6" x14ac:dyDescent="0.25">
      <c r="A35" s="7">
        <v>45446</v>
      </c>
      <c r="B35" s="1">
        <v>437.4</v>
      </c>
      <c r="D35" s="1">
        <f t="shared" si="0"/>
        <v>433.20979204376789</v>
      </c>
      <c r="E35" s="1">
        <f t="shared" si="1"/>
        <v>17.179832399067045</v>
      </c>
      <c r="F35" s="1">
        <f t="shared" si="2"/>
        <v>423.432640145893</v>
      </c>
    </row>
    <row r="36" spans="1:6" x14ac:dyDescent="0.25">
      <c r="A36" s="7">
        <v>45476</v>
      </c>
      <c r="B36" s="1">
        <v>575.5</v>
      </c>
      <c r="D36" s="1">
        <f t="shared" si="0"/>
        <v>537.96688733285043</v>
      </c>
      <c r="E36" s="1">
        <f t="shared" si="1"/>
        <v>69.726190133076344</v>
      </c>
      <c r="F36" s="1">
        <f t="shared" si="2"/>
        <v>450.38962444283493</v>
      </c>
    </row>
    <row r="37" spans="1:6" x14ac:dyDescent="0.25">
      <c r="A37" s="7">
        <v>45507</v>
      </c>
      <c r="B37" s="1">
        <v>407.6</v>
      </c>
      <c r="D37" s="1">
        <f t="shared" si="0"/>
        <v>467.62792323977806</v>
      </c>
      <c r="E37" s="1">
        <f t="shared" si="1"/>
        <v>-14.312902402612888</v>
      </c>
      <c r="F37" s="1">
        <f t="shared" si="2"/>
        <v>607.69307746592676</v>
      </c>
    </row>
    <row r="38" spans="1:6" x14ac:dyDescent="0.25">
      <c r="A38" s="7">
        <v>45538</v>
      </c>
      <c r="B38" s="1">
        <v>682</v>
      </c>
      <c r="D38" s="1">
        <f t="shared" si="0"/>
        <v>613.39450625114955</v>
      </c>
      <c r="E38" s="1">
        <f t="shared" si="1"/>
        <v>81.734788845777729</v>
      </c>
      <c r="F38" s="1">
        <f t="shared" si="2"/>
        <v>453.31502083716515</v>
      </c>
    </row>
    <row r="39" spans="1:6" x14ac:dyDescent="0.25">
      <c r="A39" s="7">
        <v>45568</v>
      </c>
      <c r="B39" s="1">
        <v>475.3</v>
      </c>
      <c r="D39" s="1">
        <f t="shared" si="0"/>
        <v>541.24878852907818</v>
      </c>
      <c r="E39" s="1">
        <f t="shared" si="1"/>
        <v>-10.593515094931725</v>
      </c>
      <c r="F39" s="1">
        <f t="shared" si="2"/>
        <v>695.12929509692731</v>
      </c>
    </row>
    <row r="40" spans="1:6" x14ac:dyDescent="0.25">
      <c r="A40" s="7">
        <v>45599</v>
      </c>
      <c r="B40" s="1">
        <v>581.29999999999995</v>
      </c>
      <c r="D40" s="1">
        <f t="shared" si="0"/>
        <v>566.106582030244</v>
      </c>
      <c r="E40" s="1">
        <f t="shared" si="1"/>
        <v>10.677270062726798</v>
      </c>
      <c r="F40" s="1">
        <f t="shared" si="2"/>
        <v>530.65527343414647</v>
      </c>
    </row>
    <row r="41" spans="1:6" x14ac:dyDescent="0.25">
      <c r="A41" s="7">
        <v>45629</v>
      </c>
      <c r="B41" s="1">
        <v>646.9</v>
      </c>
      <c r="D41" s="1">
        <f>$C$1*B41+(1-$C$1)*(D40+E40)</f>
        <v>625.86515562789123</v>
      </c>
      <c r="E41" s="1">
        <f t="shared" si="1"/>
        <v>40.126052183679057</v>
      </c>
      <c r="F41" s="1">
        <f t="shared" si="2"/>
        <v>576.78385209297085</v>
      </c>
    </row>
    <row r="42" spans="1:6" x14ac:dyDescent="0.25">
      <c r="A42" s="8">
        <v>45295</v>
      </c>
      <c r="E42" s="9">
        <v>1</v>
      </c>
      <c r="F42" s="1">
        <f>D41+E41</f>
        <v>665.99120781157023</v>
      </c>
    </row>
    <row r="43" spans="1:6" x14ac:dyDescent="0.25">
      <c r="A43" s="8">
        <v>45326</v>
      </c>
      <c r="E43" s="9">
        <v>2</v>
      </c>
      <c r="F43" s="1">
        <f>$D$41+E43*$E$41</f>
        <v>706.11725999524936</v>
      </c>
    </row>
    <row r="44" spans="1:6" x14ac:dyDescent="0.25">
      <c r="A44" s="8">
        <v>45355</v>
      </c>
      <c r="E44" s="9">
        <v>3</v>
      </c>
      <c r="F44" s="1">
        <f t="shared" ref="F44:F47" si="3">$D$41+E44*$E$41</f>
        <v>746.24331217892836</v>
      </c>
    </row>
    <row r="45" spans="1:6" x14ac:dyDescent="0.25">
      <c r="A45" s="8">
        <v>45386</v>
      </c>
      <c r="E45" s="9">
        <v>4</v>
      </c>
      <c r="F45" s="1">
        <f t="shared" si="3"/>
        <v>786.36936436260748</v>
      </c>
    </row>
    <row r="46" spans="1:6" x14ac:dyDescent="0.25">
      <c r="E46" s="9">
        <v>5</v>
      </c>
      <c r="F46" s="1">
        <f t="shared" si="3"/>
        <v>826.49541654628649</v>
      </c>
    </row>
    <row r="47" spans="1:6" x14ac:dyDescent="0.25">
      <c r="E47" s="1">
        <v>6</v>
      </c>
      <c r="F47" s="1">
        <f t="shared" si="3"/>
        <v>866.6214687299655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4D3F-FB59-4762-B97E-93F4FD2622D8}">
  <dimension ref="A1:W155"/>
  <sheetViews>
    <sheetView topLeftCell="C1" workbookViewId="0">
      <selection activeCell="K21" sqref="K21"/>
    </sheetView>
  </sheetViews>
  <sheetFormatPr defaultRowHeight="10.8" x14ac:dyDescent="0.25"/>
  <cols>
    <col min="1" max="2" width="8.88671875" style="1"/>
    <col min="3" max="3" width="12" style="1" bestFit="1" customWidth="1"/>
    <col min="4" max="4" width="12.6640625" style="1" bestFit="1" customWidth="1"/>
    <col min="5" max="16384" width="8.88671875" style="1"/>
  </cols>
  <sheetData>
    <row r="1" spans="1:23" x14ac:dyDescent="0.25">
      <c r="B1" s="10" t="s">
        <v>164</v>
      </c>
      <c r="C1" s="11">
        <v>0.4</v>
      </c>
      <c r="D1" s="11"/>
      <c r="E1" s="12"/>
    </row>
    <row r="2" spans="1:23" x14ac:dyDescent="0.25">
      <c r="B2" s="13" t="s">
        <v>5</v>
      </c>
      <c r="C2" s="14"/>
      <c r="D2" s="14">
        <v>0.3</v>
      </c>
      <c r="E2" s="15"/>
    </row>
    <row r="3" spans="1:23" x14ac:dyDescent="0.25">
      <c r="B3" s="16" t="s">
        <v>165</v>
      </c>
      <c r="C3" s="17"/>
      <c r="D3" s="17"/>
      <c r="E3" s="18">
        <v>0.2</v>
      </c>
    </row>
    <row r="5" spans="1:23" x14ac:dyDescent="0.25">
      <c r="A5" s="2" t="s">
        <v>6</v>
      </c>
      <c r="B5" s="2" t="s">
        <v>11</v>
      </c>
      <c r="C5" s="2" t="s">
        <v>8</v>
      </c>
      <c r="D5" s="2" t="s">
        <v>9</v>
      </c>
      <c r="E5" s="2" t="s">
        <v>12</v>
      </c>
      <c r="F5" s="2" t="s">
        <v>13</v>
      </c>
    </row>
    <row r="6" spans="1:23" x14ac:dyDescent="0.25">
      <c r="A6" s="2" t="s">
        <v>14</v>
      </c>
      <c r="B6" s="1">
        <v>112</v>
      </c>
      <c r="E6" s="1">
        <f>B6/AVERAGE($B$6:$B$17)</f>
        <v>0.88421052631578945</v>
      </c>
      <c r="W6" s="1" t="s">
        <v>167</v>
      </c>
    </row>
    <row r="7" spans="1:23" x14ac:dyDescent="0.25">
      <c r="A7" s="2" t="s">
        <v>15</v>
      </c>
      <c r="B7" s="1">
        <v>118</v>
      </c>
      <c r="E7" s="1">
        <f t="shared" ref="E7:E17" si="0">B7/AVERAGE($B$6:$B$17)</f>
        <v>0.93157894736842106</v>
      </c>
      <c r="W7" s="1" t="s">
        <v>166</v>
      </c>
    </row>
    <row r="8" spans="1:23" x14ac:dyDescent="0.25">
      <c r="A8" s="2" t="s">
        <v>16</v>
      </c>
      <c r="B8" s="1">
        <v>132</v>
      </c>
      <c r="E8" s="1">
        <f t="shared" si="0"/>
        <v>1.0421052631578946</v>
      </c>
      <c r="W8" s="1" t="s">
        <v>168</v>
      </c>
    </row>
    <row r="9" spans="1:23" x14ac:dyDescent="0.25">
      <c r="A9" s="2" t="s">
        <v>17</v>
      </c>
      <c r="B9" s="1">
        <v>129</v>
      </c>
      <c r="E9" s="1">
        <f t="shared" si="0"/>
        <v>1.0184210526315789</v>
      </c>
      <c r="W9" s="1" t="s">
        <v>169</v>
      </c>
    </row>
    <row r="10" spans="1:23" x14ac:dyDescent="0.25">
      <c r="A10" s="2" t="s">
        <v>18</v>
      </c>
      <c r="B10" s="1">
        <v>121</v>
      </c>
      <c r="E10" s="1">
        <f t="shared" si="0"/>
        <v>0.95526315789473681</v>
      </c>
    </row>
    <row r="11" spans="1:23" x14ac:dyDescent="0.25">
      <c r="A11" s="2" t="s">
        <v>19</v>
      </c>
      <c r="B11" s="1">
        <v>135</v>
      </c>
      <c r="E11" s="1">
        <f t="shared" si="0"/>
        <v>1.0657894736842104</v>
      </c>
    </row>
    <row r="12" spans="1:23" x14ac:dyDescent="0.25">
      <c r="A12" s="2" t="s">
        <v>20</v>
      </c>
      <c r="B12" s="1">
        <v>148</v>
      </c>
      <c r="E12" s="1">
        <f t="shared" si="0"/>
        <v>1.1684210526315788</v>
      </c>
    </row>
    <row r="13" spans="1:23" x14ac:dyDescent="0.25">
      <c r="A13" s="2" t="s">
        <v>21</v>
      </c>
      <c r="B13" s="1">
        <v>148</v>
      </c>
      <c r="E13" s="1">
        <f t="shared" si="0"/>
        <v>1.1684210526315788</v>
      </c>
    </row>
    <row r="14" spans="1:23" x14ac:dyDescent="0.25">
      <c r="A14" s="2" t="s">
        <v>22</v>
      </c>
      <c r="B14" s="1">
        <v>136</v>
      </c>
      <c r="E14" s="1">
        <f t="shared" si="0"/>
        <v>1.0736842105263158</v>
      </c>
    </row>
    <row r="15" spans="1:23" x14ac:dyDescent="0.25">
      <c r="A15" s="2" t="s">
        <v>23</v>
      </c>
      <c r="B15" s="1">
        <v>119</v>
      </c>
      <c r="E15" s="1">
        <f t="shared" si="0"/>
        <v>0.93947368421052624</v>
      </c>
    </row>
    <row r="16" spans="1:23" x14ac:dyDescent="0.25">
      <c r="A16" s="2" t="s">
        <v>24</v>
      </c>
      <c r="B16" s="1">
        <v>104</v>
      </c>
      <c r="E16" s="1">
        <f t="shared" si="0"/>
        <v>0.82105263157894737</v>
      </c>
    </row>
    <row r="17" spans="1:6" x14ac:dyDescent="0.25">
      <c r="A17" s="2" t="s">
        <v>25</v>
      </c>
      <c r="B17" s="1">
        <v>118</v>
      </c>
      <c r="E17" s="1">
        <f t="shared" si="0"/>
        <v>0.93157894736842106</v>
      </c>
    </row>
    <row r="18" spans="1:6" x14ac:dyDescent="0.25">
      <c r="A18" s="1" t="s">
        <v>26</v>
      </c>
      <c r="B18" s="1">
        <v>115</v>
      </c>
      <c r="C18" s="1">
        <f>B18/E6</f>
        <v>130.05952380952382</v>
      </c>
      <c r="D18" s="1">
        <f>C18-(B17/E17)</f>
        <v>3.392857142857153</v>
      </c>
      <c r="E18" s="1">
        <f>$E$3*(B18/C18)+(1-$E$3)*E6</f>
        <v>0.88421052631578956</v>
      </c>
    </row>
    <row r="19" spans="1:6" x14ac:dyDescent="0.25">
      <c r="A19" s="1" t="s">
        <v>27</v>
      </c>
      <c r="B19" s="1">
        <v>126</v>
      </c>
      <c r="C19" s="1">
        <f>$C$1*(B19/E7)+(1-$C$1)*(C18+D18)</f>
        <v>134.17312348668281</v>
      </c>
      <c r="D19" s="1">
        <f>$D$2*(C19-C18)+(1-$D$2)*D18</f>
        <v>3.6090799031477032</v>
      </c>
      <c r="E19" s="1">
        <v>0.94107672799999997</v>
      </c>
      <c r="F19" s="1">
        <f>(C18+D18)*E7</f>
        <v>124.32142857142858</v>
      </c>
    </row>
    <row r="20" spans="1:6" x14ac:dyDescent="0.25">
      <c r="A20" s="1" t="s">
        <v>28</v>
      </c>
      <c r="B20" s="1">
        <v>141</v>
      </c>
      <c r="C20" s="1">
        <f t="shared" ref="C20:C83" si="1">$C$1*(B20/E8)+(1-$C$1)*(C19+D19)</f>
        <v>136.79053415511044</v>
      </c>
      <c r="D20" s="1">
        <f t="shared" ref="D20:D83" si="2">$D$2*(C20-C19)+(1-$D$2)*D19</f>
        <v>3.311579132731679</v>
      </c>
      <c r="E20" s="1">
        <v>1.0506247879999999</v>
      </c>
      <c r="F20" s="1">
        <f t="shared" ref="F20:F83" si="3">(C19+D19)*E8</f>
        <v>143.58355932203389</v>
      </c>
    </row>
    <row r="21" spans="1:6" x14ac:dyDescent="0.25">
      <c r="A21" s="1" t="s">
        <v>29</v>
      </c>
      <c r="B21" s="1">
        <v>135</v>
      </c>
      <c r="C21" s="1">
        <f t="shared" si="1"/>
        <v>137.08452378665876</v>
      </c>
      <c r="D21" s="1">
        <f t="shared" si="2"/>
        <v>2.4063022823766738</v>
      </c>
      <c r="E21" s="1">
        <v>1.0189589619999999</v>
      </c>
      <c r="F21" s="1">
        <f t="shared" si="3"/>
        <v>142.68294169051288</v>
      </c>
    </row>
    <row r="22" spans="1:6" x14ac:dyDescent="0.25">
      <c r="A22" s="1" t="s">
        <v>30</v>
      </c>
      <c r="B22" s="1">
        <v>125</v>
      </c>
      <c r="C22" s="1">
        <f t="shared" si="1"/>
        <v>136.03609343756452</v>
      </c>
      <c r="D22" s="1">
        <f t="shared" si="2"/>
        <v>1.3698824929353977</v>
      </c>
      <c r="E22" s="1">
        <v>0.95083082799999996</v>
      </c>
      <c r="F22" s="1">
        <f t="shared" si="3"/>
        <v>133.25044700805228</v>
      </c>
    </row>
    <row r="23" spans="1:6" x14ac:dyDescent="0.25">
      <c r="A23" s="1" t="s">
        <v>31</v>
      </c>
      <c r="B23" s="1">
        <v>149</v>
      </c>
      <c r="C23" s="1">
        <f t="shared" si="1"/>
        <v>138.36457321262094</v>
      </c>
      <c r="D23" s="1">
        <f t="shared" si="2"/>
        <v>1.657461677571705</v>
      </c>
      <c r="E23" s="1">
        <v>1.070042723</v>
      </c>
      <c r="F23" s="1">
        <f t="shared" si="3"/>
        <v>146.4458427680328</v>
      </c>
    </row>
    <row r="24" spans="1:6" x14ac:dyDescent="0.25">
      <c r="A24" s="1" t="s">
        <v>32</v>
      </c>
      <c r="B24" s="1">
        <v>170</v>
      </c>
      <c r="C24" s="1">
        <f t="shared" si="1"/>
        <v>142.21141913231381</v>
      </c>
      <c r="D24" s="1">
        <f t="shared" si="2"/>
        <v>2.3142769502080536</v>
      </c>
      <c r="E24" s="1">
        <v>1.1672117909999999</v>
      </c>
      <c r="F24" s="1">
        <f t="shared" si="3"/>
        <v>163.60469339801455</v>
      </c>
    </row>
    <row r="25" spans="1:6" x14ac:dyDescent="0.25">
      <c r="A25" s="1" t="s">
        <v>33</v>
      </c>
      <c r="B25" s="1">
        <v>170</v>
      </c>
      <c r="C25" s="1">
        <f t="shared" si="1"/>
        <v>144.9136158477113</v>
      </c>
      <c r="D25" s="1">
        <f t="shared" si="2"/>
        <v>2.4306528797648848</v>
      </c>
      <c r="E25" s="1">
        <v>1.1456475429999999</v>
      </c>
      <c r="F25" s="1">
        <f t="shared" si="3"/>
        <v>168.86686594905183</v>
      </c>
    </row>
    <row r="26" spans="1:6" x14ac:dyDescent="0.25">
      <c r="A26" s="1" t="s">
        <v>34</v>
      </c>
      <c r="B26" s="1">
        <v>158</v>
      </c>
      <c r="C26" s="1">
        <f t="shared" si="1"/>
        <v>147.26930633452494</v>
      </c>
      <c r="D26" s="1">
        <f t="shared" si="2"/>
        <v>2.4081641618795118</v>
      </c>
      <c r="E26" s="1">
        <v>1.03511902</v>
      </c>
      <c r="F26" s="1">
        <f t="shared" si="3"/>
        <v>158.2012148442376</v>
      </c>
    </row>
    <row r="27" spans="1:6" x14ac:dyDescent="0.25">
      <c r="A27" s="1" t="s">
        <v>35</v>
      </c>
      <c r="B27" s="1">
        <v>133</v>
      </c>
      <c r="C27" s="1">
        <f t="shared" si="1"/>
        <v>146.43393327823483</v>
      </c>
      <c r="D27" s="1">
        <f t="shared" si="2"/>
        <v>1.4351029964286255</v>
      </c>
      <c r="E27" s="1">
        <v>0.882985303</v>
      </c>
      <c r="F27" s="1">
        <f t="shared" si="3"/>
        <v>140.61804465056943</v>
      </c>
    </row>
    <row r="28" spans="1:6" x14ac:dyDescent="0.25">
      <c r="A28" s="1" t="s">
        <v>36</v>
      </c>
      <c r="B28" s="1">
        <v>114</v>
      </c>
      <c r="C28" s="1">
        <f t="shared" si="1"/>
        <v>144.25988330325961</v>
      </c>
      <c r="D28" s="1">
        <f t="shared" si="2"/>
        <v>0.35235710500747219</v>
      </c>
      <c r="E28" s="1">
        <v>0.75966552499999995</v>
      </c>
      <c r="F28" s="1">
        <f t="shared" si="3"/>
        <v>121.40826136235528</v>
      </c>
    </row>
    <row r="29" spans="1:6" x14ac:dyDescent="0.25">
      <c r="A29" s="1" t="s">
        <v>37</v>
      </c>
      <c r="B29" s="1">
        <v>140</v>
      </c>
      <c r="C29" s="1">
        <f t="shared" si="1"/>
        <v>146.88033859524273</v>
      </c>
      <c r="D29" s="1">
        <f t="shared" si="2"/>
        <v>1.0327865611001665</v>
      </c>
      <c r="E29" s="1">
        <v>0.86528276800000004</v>
      </c>
      <c r="F29" s="1">
        <f t="shared" si="3"/>
        <v>134.71771869612252</v>
      </c>
    </row>
    <row r="30" spans="1:6" x14ac:dyDescent="0.25">
      <c r="A30" s="1" t="s">
        <v>38</v>
      </c>
      <c r="B30" s="1">
        <v>145</v>
      </c>
      <c r="C30" s="1">
        <f t="shared" si="1"/>
        <v>154.34311318904383</v>
      </c>
      <c r="D30" s="1">
        <f t="shared" si="2"/>
        <v>2.9617829709104466</v>
      </c>
      <c r="E30" s="1">
        <v>0.88832236600000003</v>
      </c>
      <c r="F30" s="1">
        <f t="shared" si="3"/>
        <v>130.78634224350319</v>
      </c>
    </row>
    <row r="31" spans="1:6" x14ac:dyDescent="0.25">
      <c r="A31" s="1" t="s">
        <v>39</v>
      </c>
      <c r="B31" s="1">
        <v>150</v>
      </c>
      <c r="C31" s="1">
        <f t="shared" si="1"/>
        <v>158.13969441390088</v>
      </c>
      <c r="D31" s="1">
        <f t="shared" si="2"/>
        <v>3.2122224470944278</v>
      </c>
      <c r="E31" s="1">
        <v>0.93622942300000001</v>
      </c>
      <c r="F31" s="1">
        <f t="shared" si="3"/>
        <v>148.03597697658952</v>
      </c>
    </row>
    <row r="32" spans="1:6" x14ac:dyDescent="0.25">
      <c r="A32" s="1" t="s">
        <v>40</v>
      </c>
      <c r="B32" s="1">
        <v>178</v>
      </c>
      <c r="C32" s="1">
        <f t="shared" si="1"/>
        <v>164.58034880030465</v>
      </c>
      <c r="D32" s="1">
        <f t="shared" si="2"/>
        <v>4.1807520288872286</v>
      </c>
      <c r="E32" s="1">
        <v>1.0523620970000001</v>
      </c>
      <c r="F32" s="1">
        <f t="shared" si="3"/>
        <v>169.52032344547681</v>
      </c>
    </row>
    <row r="33" spans="1:6" x14ac:dyDescent="0.25">
      <c r="A33" s="1" t="s">
        <v>41</v>
      </c>
      <c r="B33" s="1">
        <v>163</v>
      </c>
      <c r="C33" s="1">
        <f t="shared" si="1"/>
        <v>165.24353576089794</v>
      </c>
      <c r="D33" s="1">
        <f t="shared" si="2"/>
        <v>3.1254825083990476</v>
      </c>
      <c r="E33" s="1">
        <v>1.0071933260000001</v>
      </c>
      <c r="F33" s="1">
        <f t="shared" si="3"/>
        <v>171.96063612689071</v>
      </c>
    </row>
    <row r="34" spans="1:6" x14ac:dyDescent="0.25">
      <c r="A34" s="1" t="s">
        <v>42</v>
      </c>
      <c r="B34" s="1">
        <v>172</v>
      </c>
      <c r="C34" s="1">
        <f t="shared" si="1"/>
        <v>173.37918268498302</v>
      </c>
      <c r="D34" s="1">
        <f t="shared" si="2"/>
        <v>4.6285318331048568</v>
      </c>
      <c r="E34" s="1">
        <v>0.957513053</v>
      </c>
      <c r="F34" s="1">
        <f t="shared" si="3"/>
        <v>160.09045305054278</v>
      </c>
    </row>
    <row r="35" spans="1:6" x14ac:dyDescent="0.25">
      <c r="A35" s="1" t="s">
        <v>43</v>
      </c>
      <c r="B35" s="1">
        <v>178</v>
      </c>
      <c r="C35" s="1">
        <f t="shared" si="1"/>
        <v>173.34402799799688</v>
      </c>
      <c r="D35" s="1">
        <f t="shared" si="2"/>
        <v>3.2294258770775559</v>
      </c>
      <c r="E35" s="1">
        <v>1.058075909</v>
      </c>
      <c r="F35" s="1">
        <f t="shared" si="3"/>
        <v>190.47585955794139</v>
      </c>
    </row>
    <row r="36" spans="1:6" x14ac:dyDescent="0.25">
      <c r="A36" s="1" t="s">
        <v>44</v>
      </c>
      <c r="B36" s="1">
        <v>199</v>
      </c>
      <c r="C36" s="1">
        <f t="shared" si="1"/>
        <v>174.14077888144715</v>
      </c>
      <c r="D36" s="1">
        <f t="shared" si="2"/>
        <v>2.4996233789893707</v>
      </c>
      <c r="E36" s="1">
        <v>1.157872735</v>
      </c>
      <c r="F36" s="1">
        <f t="shared" si="3"/>
        <v>206.09861734058148</v>
      </c>
    </row>
    <row r="37" spans="1:6" x14ac:dyDescent="0.25">
      <c r="A37" s="1" t="s">
        <v>45</v>
      </c>
      <c r="B37" s="1">
        <v>199</v>
      </c>
      <c r="C37" s="1">
        <f t="shared" si="1"/>
        <v>175.46459810853054</v>
      </c>
      <c r="D37" s="1">
        <f t="shared" si="2"/>
        <v>2.1468821334175763</v>
      </c>
      <c r="E37" s="1">
        <v>1.1389531820000001</v>
      </c>
      <c r="F37" s="1">
        <f t="shared" si="3"/>
        <v>202.36764284420076</v>
      </c>
    </row>
    <row r="38" spans="1:6" x14ac:dyDescent="0.25">
      <c r="A38" s="1" t="s">
        <v>46</v>
      </c>
      <c r="B38" s="1">
        <v>184</v>
      </c>
      <c r="C38" s="1">
        <f t="shared" si="1"/>
        <v>177.66982276229146</v>
      </c>
      <c r="D38" s="1">
        <f t="shared" si="2"/>
        <v>2.1643848895205799</v>
      </c>
      <c r="E38" s="1">
        <v>1.031982712</v>
      </c>
      <c r="F38" s="1">
        <f t="shared" si="3"/>
        <v>183.84902136879469</v>
      </c>
    </row>
    <row r="39" spans="1:6" x14ac:dyDescent="0.25">
      <c r="A39" s="1" t="s">
        <v>47</v>
      </c>
      <c r="B39" s="1">
        <v>162</v>
      </c>
      <c r="C39" s="1">
        <f t="shared" si="1"/>
        <v>181.28792954543673</v>
      </c>
      <c r="D39" s="1">
        <f t="shared" si="2"/>
        <v>2.6005014576079857</v>
      </c>
      <c r="E39" s="1">
        <v>0.883708363</v>
      </c>
      <c r="F39" s="1">
        <f t="shared" si="3"/>
        <v>158.79096233320018</v>
      </c>
    </row>
    <row r="40" spans="1:6" x14ac:dyDescent="0.25">
      <c r="A40" s="1" t="s">
        <v>48</v>
      </c>
      <c r="B40" s="1">
        <v>146</v>
      </c>
      <c r="C40" s="1">
        <f t="shared" si="1"/>
        <v>187.20899686426148</v>
      </c>
      <c r="D40" s="1">
        <f t="shared" si="2"/>
        <v>3.5966712159730161</v>
      </c>
      <c r="E40" s="1">
        <v>0.76447518999999997</v>
      </c>
      <c r="F40" s="1">
        <f t="shared" si="3"/>
        <v>139.69370147935422</v>
      </c>
    </row>
    <row r="41" spans="1:6" x14ac:dyDescent="0.25">
      <c r="A41" s="1" t="s">
        <v>49</v>
      </c>
      <c r="B41" s="1">
        <v>166</v>
      </c>
      <c r="C41" s="1">
        <f t="shared" si="1"/>
        <v>191.22132104673176</v>
      </c>
      <c r="D41" s="1">
        <f t="shared" si="2"/>
        <v>3.7213671059221953</v>
      </c>
      <c r="E41" s="1">
        <v>0.86748422000000003</v>
      </c>
      <c r="F41" s="1">
        <f t="shared" si="3"/>
        <v>165.10085662655456</v>
      </c>
    </row>
    <row r="42" spans="1:6" x14ac:dyDescent="0.25">
      <c r="A42" s="1" t="s">
        <v>50</v>
      </c>
      <c r="B42" s="1">
        <v>171</v>
      </c>
      <c r="C42" s="1">
        <f t="shared" si="1"/>
        <v>193.96468734695736</v>
      </c>
      <c r="D42" s="1">
        <f t="shared" si="2"/>
        <v>3.4279668642132175</v>
      </c>
      <c r="E42" s="1">
        <v>0.88857516000000003</v>
      </c>
      <c r="F42" s="1">
        <f t="shared" si="3"/>
        <v>173.17194997416573</v>
      </c>
    </row>
    <row r="43" spans="1:6" x14ac:dyDescent="0.25">
      <c r="A43" s="1" t="s">
        <v>51</v>
      </c>
      <c r="B43" s="1">
        <v>180</v>
      </c>
      <c r="C43" s="1">
        <f t="shared" si="1"/>
        <v>195.33981945143125</v>
      </c>
      <c r="D43" s="1">
        <f t="shared" si="2"/>
        <v>2.8121164362914199</v>
      </c>
      <c r="E43" s="1">
        <v>0.93414538400000002</v>
      </c>
      <c r="F43" s="1">
        <f t="shared" si="3"/>
        <v>184.80481075656274</v>
      </c>
    </row>
    <row r="44" spans="1:6" x14ac:dyDescent="0.25">
      <c r="A44" s="1" t="s">
        <v>52</v>
      </c>
      <c r="B44" s="1">
        <v>193</v>
      </c>
      <c r="C44" s="1">
        <f t="shared" si="1"/>
        <v>192.24994195628847</v>
      </c>
      <c r="D44" s="1">
        <f t="shared" si="2"/>
        <v>1.0415182568611581</v>
      </c>
      <c r="E44" s="1">
        <v>1.0405697350000001</v>
      </c>
      <c r="F44" s="1">
        <f t="shared" si="3"/>
        <v>208.52758677541343</v>
      </c>
    </row>
    <row r="45" spans="1:6" x14ac:dyDescent="0.25">
      <c r="A45" s="1" t="s">
        <v>53</v>
      </c>
      <c r="B45" s="1">
        <v>181</v>
      </c>
      <c r="C45" s="1">
        <f t="shared" si="1"/>
        <v>187.85779883105312</v>
      </c>
      <c r="D45" s="1">
        <f t="shared" si="2"/>
        <v>-0.58858015776779427</v>
      </c>
      <c r="E45" s="1">
        <v>0.99353608100000002</v>
      </c>
      <c r="F45" s="1">
        <f t="shared" si="3"/>
        <v>194.68186869947888</v>
      </c>
    </row>
    <row r="46" spans="1:6" x14ac:dyDescent="0.25">
      <c r="A46" s="1" t="s">
        <v>54</v>
      </c>
      <c r="B46" s="1">
        <v>183</v>
      </c>
      <c r="C46" s="1">
        <f t="shared" si="1"/>
        <v>188.80957519737251</v>
      </c>
      <c r="D46" s="1">
        <f t="shared" si="2"/>
        <v>-0.12647320054163796</v>
      </c>
      <c r="E46" s="1">
        <v>0.95557724499999996</v>
      </c>
      <c r="F46" s="1">
        <f t="shared" si="3"/>
        <v>179.31272130478203</v>
      </c>
    </row>
    <row r="47" spans="1:6" x14ac:dyDescent="0.25">
      <c r="A47" s="1" t="s">
        <v>55</v>
      </c>
      <c r="B47" s="1">
        <v>218</v>
      </c>
      <c r="C47" s="1">
        <f t="shared" si="1"/>
        <v>195.62360794185884</v>
      </c>
      <c r="D47" s="1">
        <f t="shared" si="2"/>
        <v>1.9556785829667511</v>
      </c>
      <c r="E47" s="1">
        <v>1.068713427</v>
      </c>
      <c r="F47" s="1">
        <f t="shared" si="3"/>
        <v>199.64104465823655</v>
      </c>
    </row>
    <row r="48" spans="1:6" x14ac:dyDescent="0.25">
      <c r="A48" s="1" t="s">
        <v>56</v>
      </c>
      <c r="B48" s="1">
        <v>230</v>
      </c>
      <c r="C48" s="1">
        <f t="shared" si="1"/>
        <v>198.00362716089785</v>
      </c>
      <c r="D48" s="1">
        <f t="shared" si="2"/>
        <v>2.0829807737884298</v>
      </c>
      <c r="E48" s="1">
        <v>1.1588951599999999</v>
      </c>
      <c r="F48" s="1">
        <f t="shared" si="3"/>
        <v>228.77166886784846</v>
      </c>
    </row>
    <row r="49" spans="1:6" x14ac:dyDescent="0.25">
      <c r="A49" s="1" t="s">
        <v>57</v>
      </c>
      <c r="B49" s="1">
        <v>242</v>
      </c>
      <c r="C49" s="1">
        <f t="shared" si="1"/>
        <v>205.04228879680011</v>
      </c>
      <c r="D49" s="1">
        <f t="shared" si="2"/>
        <v>3.5696850324225782</v>
      </c>
      <c r="E49" s="1">
        <v>1.150930775</v>
      </c>
      <c r="F49" s="1">
        <f t="shared" si="3"/>
        <v>227.88927878279739</v>
      </c>
    </row>
    <row r="50" spans="1:6" x14ac:dyDescent="0.25">
      <c r="A50" s="1" t="s">
        <v>58</v>
      </c>
      <c r="B50" s="1">
        <v>209</v>
      </c>
      <c r="C50" s="1">
        <f t="shared" si="1"/>
        <v>206.17629329508821</v>
      </c>
      <c r="D50" s="1">
        <f t="shared" si="2"/>
        <v>2.8389808721822369</v>
      </c>
      <c r="E50" s="1">
        <v>1.0307057630000001</v>
      </c>
      <c r="F50" s="1">
        <f t="shared" si="3"/>
        <v>215.28395050795424</v>
      </c>
    </row>
    <row r="51" spans="1:6" x14ac:dyDescent="0.25">
      <c r="A51" s="1" t="s">
        <v>59</v>
      </c>
      <c r="B51" s="1">
        <v>191</v>
      </c>
      <c r="C51" s="1">
        <f t="shared" si="1"/>
        <v>211.86302552374156</v>
      </c>
      <c r="D51" s="1">
        <f t="shared" si="2"/>
        <v>3.693306279123568</v>
      </c>
      <c r="E51" s="1">
        <v>0.890648934</v>
      </c>
      <c r="F51" s="1">
        <f t="shared" si="3"/>
        <v>184.70854577635475</v>
      </c>
    </row>
    <row r="52" spans="1:6" x14ac:dyDescent="0.25">
      <c r="A52" s="1" t="s">
        <v>60</v>
      </c>
      <c r="B52" s="1">
        <v>172</v>
      </c>
      <c r="C52" s="1">
        <f t="shared" si="1"/>
        <v>219.33017947439083</v>
      </c>
      <c r="D52" s="1">
        <f t="shared" si="2"/>
        <v>4.8254605805812805</v>
      </c>
      <c r="E52" s="1">
        <v>0.77264653000000005</v>
      </c>
      <c r="F52" s="1">
        <f t="shared" si="3"/>
        <v>164.78746771069834</v>
      </c>
    </row>
    <row r="53" spans="1:6" x14ac:dyDescent="0.25">
      <c r="A53" s="1" t="s">
        <v>61</v>
      </c>
      <c r="B53" s="1">
        <v>194</v>
      </c>
      <c r="C53" s="1">
        <f t="shared" si="1"/>
        <v>223.94746078840831</v>
      </c>
      <c r="D53" s="1">
        <f t="shared" si="2"/>
        <v>4.7630068006121391</v>
      </c>
      <c r="E53" s="1">
        <v>0.87158026700000002</v>
      </c>
      <c r="F53" s="1">
        <f t="shared" si="3"/>
        <v>194.45148057168825</v>
      </c>
    </row>
    <row r="54" spans="1:6" x14ac:dyDescent="0.25">
      <c r="A54" s="1" t="s">
        <v>62</v>
      </c>
      <c r="B54" s="1">
        <v>196</v>
      </c>
      <c r="C54" s="1">
        <f t="shared" si="1"/>
        <v>225.45742129338072</v>
      </c>
      <c r="D54" s="1">
        <f t="shared" si="2"/>
        <v>3.7870929119202206</v>
      </c>
      <c r="E54" s="1">
        <v>0.88736057000000002</v>
      </c>
      <c r="F54" s="1">
        <f t="shared" si="3"/>
        <v>203.22644033158866</v>
      </c>
    </row>
    <row r="55" spans="1:6" x14ac:dyDescent="0.25">
      <c r="A55" s="1" t="s">
        <v>63</v>
      </c>
      <c r="B55" s="1">
        <v>196</v>
      </c>
      <c r="C55" s="1">
        <f t="shared" si="1"/>
        <v>221.4736874954387</v>
      </c>
      <c r="D55" s="1">
        <f t="shared" si="2"/>
        <v>1.4558448989615476</v>
      </c>
      <c r="E55" s="1">
        <v>0.92330036900000001</v>
      </c>
      <c r="F55" s="1">
        <f t="shared" si="3"/>
        <v>214.14770475220431</v>
      </c>
    </row>
    <row r="56" spans="1:6" x14ac:dyDescent="0.25">
      <c r="A56" s="1" t="s">
        <v>64</v>
      </c>
      <c r="B56" s="1">
        <v>236</v>
      </c>
      <c r="C56" s="1">
        <f t="shared" si="1"/>
        <v>224.47725203961366</v>
      </c>
      <c r="D56" s="1">
        <f t="shared" si="2"/>
        <v>1.9201607925255724</v>
      </c>
      <c r="E56" s="1">
        <v>1.041407725</v>
      </c>
      <c r="F56" s="1">
        <f t="shared" si="3"/>
        <v>231.97372444731499</v>
      </c>
    </row>
    <row r="57" spans="1:6" x14ac:dyDescent="0.25">
      <c r="A57" s="1" t="s">
        <v>65</v>
      </c>
      <c r="B57" s="1">
        <v>235</v>
      </c>
      <c r="C57" s="1">
        <f t="shared" si="1"/>
        <v>230.45000916908788</v>
      </c>
      <c r="D57" s="1">
        <f t="shared" si="2"/>
        <v>3.1359396936101658</v>
      </c>
      <c r="E57" s="1">
        <v>0.99881898599999996</v>
      </c>
      <c r="F57" s="1">
        <f t="shared" si="3"/>
        <v>224.93399829378271</v>
      </c>
    </row>
    <row r="58" spans="1:6" x14ac:dyDescent="0.25">
      <c r="A58" s="1" t="s">
        <v>66</v>
      </c>
      <c r="B58" s="1">
        <v>229</v>
      </c>
      <c r="C58" s="1">
        <f t="shared" si="1"/>
        <v>236.00985861792549</v>
      </c>
      <c r="D58" s="1">
        <f t="shared" si="2"/>
        <v>3.863112620178399</v>
      </c>
      <c r="E58" s="1">
        <v>0.95935089200000001</v>
      </c>
      <c r="F58" s="1">
        <f t="shared" si="3"/>
        <v>223.20941748492788</v>
      </c>
    </row>
    <row r="59" spans="1:6" x14ac:dyDescent="0.25">
      <c r="A59" s="1" t="s">
        <v>67</v>
      </c>
      <c r="B59" s="1">
        <v>243</v>
      </c>
      <c r="C59" s="1">
        <f t="shared" si="1"/>
        <v>234.87426352127966</v>
      </c>
      <c r="D59" s="1">
        <f t="shared" si="2"/>
        <v>2.3635003051311303</v>
      </c>
      <c r="E59" s="1">
        <v>1.0604574280000001</v>
      </c>
      <c r="F59" s="1">
        <f t="shared" si="3"/>
        <v>256.35546513654646</v>
      </c>
    </row>
    <row r="60" spans="1:6" x14ac:dyDescent="0.25">
      <c r="A60" s="1" t="s">
        <v>68</v>
      </c>
      <c r="B60" s="1">
        <v>264</v>
      </c>
      <c r="C60" s="1">
        <f t="shared" si="1"/>
        <v>233.46392935197895</v>
      </c>
      <c r="D60" s="1">
        <f t="shared" si="2"/>
        <v>1.2313499628015778</v>
      </c>
      <c r="E60" s="1">
        <v>1.1496625060000001</v>
      </c>
      <c r="F60" s="1">
        <f t="shared" si="3"/>
        <v>274.93369626765053</v>
      </c>
    </row>
    <row r="61" spans="1:6" x14ac:dyDescent="0.25">
      <c r="A61" s="1" t="s">
        <v>69</v>
      </c>
      <c r="B61" s="1">
        <v>272</v>
      </c>
      <c r="C61" s="1">
        <f t="shared" si="1"/>
        <v>235.34935176823393</v>
      </c>
      <c r="D61" s="1">
        <f t="shared" si="2"/>
        <v>1.4275716988375993</v>
      </c>
      <c r="E61" s="1">
        <v>1.1483728980000001</v>
      </c>
      <c r="F61" s="1">
        <f t="shared" si="3"/>
        <v>270.1180197106018</v>
      </c>
    </row>
    <row r="62" spans="1:6" x14ac:dyDescent="0.25">
      <c r="A62" s="1" t="s">
        <v>70</v>
      </c>
      <c r="B62" s="1">
        <v>237</v>
      </c>
      <c r="C62" s="1">
        <f t="shared" si="1"/>
        <v>234.04196657989613</v>
      </c>
      <c r="D62" s="1">
        <f t="shared" si="2"/>
        <v>0.60708463268497825</v>
      </c>
      <c r="E62" s="1">
        <v>1.022945451</v>
      </c>
      <c r="F62" s="1">
        <f t="shared" si="3"/>
        <v>244.04733956292057</v>
      </c>
    </row>
    <row r="63" spans="1:6" x14ac:dyDescent="0.25">
      <c r="A63" s="1" t="s">
        <v>71</v>
      </c>
      <c r="B63" s="1">
        <v>211</v>
      </c>
      <c r="C63" s="1">
        <f t="shared" si="1"/>
        <v>235.5517964342593</v>
      </c>
      <c r="D63" s="1">
        <f t="shared" si="2"/>
        <v>0.87790819918843743</v>
      </c>
      <c r="E63" s="1">
        <v>0.88853836900000005</v>
      </c>
      <c r="F63" s="1">
        <f t="shared" si="3"/>
        <v>208.98992732659676</v>
      </c>
    </row>
    <row r="64" spans="1:6" x14ac:dyDescent="0.25">
      <c r="A64" s="1" t="s">
        <v>72</v>
      </c>
      <c r="B64" s="1">
        <v>180</v>
      </c>
      <c r="C64" s="1">
        <f t="shared" si="1"/>
        <v>235.04403044995877</v>
      </c>
      <c r="D64" s="1">
        <f t="shared" si="2"/>
        <v>0.46220594414174615</v>
      </c>
      <c r="E64" s="1">
        <v>0.76846944299999997</v>
      </c>
      <c r="F64" s="1">
        <f t="shared" si="3"/>
        <v>182.67659087395833</v>
      </c>
    </row>
    <row r="65" spans="1:6" x14ac:dyDescent="0.25">
      <c r="A65" s="1" t="s">
        <v>73</v>
      </c>
      <c r="B65" s="1">
        <v>201</v>
      </c>
      <c r="C65" s="1">
        <f t="shared" si="1"/>
        <v>233.54997898078977</v>
      </c>
      <c r="D65" s="1">
        <f t="shared" si="2"/>
        <v>-0.12467127985147597</v>
      </c>
      <c r="E65" s="1">
        <v>0.86593618100000003</v>
      </c>
      <c r="F65" s="1">
        <f t="shared" si="3"/>
        <v>205.26258839653525</v>
      </c>
    </row>
    <row r="66" spans="1:6" x14ac:dyDescent="0.25">
      <c r="A66" s="1" t="s">
        <v>74</v>
      </c>
      <c r="B66" s="1">
        <v>204</v>
      </c>
      <c r="C66" s="1">
        <f t="shared" si="1"/>
        <v>232.01329359987</v>
      </c>
      <c r="D66" s="1">
        <f t="shared" si="2"/>
        <v>-0.54827551017196652</v>
      </c>
      <c r="E66" s="1">
        <v>0.88215586499999998</v>
      </c>
      <c r="F66" s="1">
        <f t="shared" si="3"/>
        <v>207.13241409393001</v>
      </c>
    </row>
    <row r="67" spans="1:6" x14ac:dyDescent="0.25">
      <c r="A67" s="1" t="s">
        <v>75</v>
      </c>
      <c r="B67" s="1">
        <v>188</v>
      </c>
      <c r="C67" s="1">
        <f t="shared" si="1"/>
        <v>220.32596194888549</v>
      </c>
      <c r="D67" s="1">
        <f t="shared" si="2"/>
        <v>-3.8899923524157276</v>
      </c>
      <c r="E67" s="1">
        <v>0.90213584400000002</v>
      </c>
      <c r="F67" s="1">
        <f t="shared" si="3"/>
        <v>213.71173661280986</v>
      </c>
    </row>
    <row r="68" spans="1:6" x14ac:dyDescent="0.25">
      <c r="A68" s="1" t="s">
        <v>76</v>
      </c>
      <c r="B68" s="1">
        <v>235</v>
      </c>
      <c r="C68" s="1">
        <f t="shared" si="1"/>
        <v>220.1240195557194</v>
      </c>
      <c r="D68" s="1">
        <f t="shared" si="2"/>
        <v>-2.7835773646408368</v>
      </c>
      <c r="E68" s="1">
        <v>1.0398926319999999</v>
      </c>
      <c r="F68" s="1">
        <f t="shared" si="3"/>
        <v>225.39809070562873</v>
      </c>
    </row>
    <row r="69" spans="1:6" x14ac:dyDescent="0.25">
      <c r="A69" s="1" t="s">
        <v>77</v>
      </c>
      <c r="B69" s="1">
        <v>227</v>
      </c>
      <c r="C69" s="1">
        <f t="shared" si="1"/>
        <v>221.31162818289761</v>
      </c>
      <c r="D69" s="1">
        <f t="shared" si="2"/>
        <v>-1.5922215670951234</v>
      </c>
      <c r="E69" s="1">
        <v>1.0004748939999999</v>
      </c>
      <c r="F69" s="1">
        <f t="shared" si="3"/>
        <v>217.08376008608468</v>
      </c>
    </row>
    <row r="70" spans="1:6" x14ac:dyDescent="0.25">
      <c r="A70" s="1" t="s">
        <v>78</v>
      </c>
      <c r="B70" s="1">
        <v>234</v>
      </c>
      <c r="C70" s="1">
        <f t="shared" si="1"/>
        <v>229.39761360637635</v>
      </c>
      <c r="D70" s="1">
        <f t="shared" si="2"/>
        <v>1.3112405300770373</v>
      </c>
      <c r="E70" s="1">
        <v>0.97336358599999995</v>
      </c>
      <c r="F70" s="1">
        <f t="shared" si="3"/>
        <v>210.78800872658081</v>
      </c>
    </row>
    <row r="71" spans="1:6" x14ac:dyDescent="0.25">
      <c r="A71" s="1" t="s">
        <v>79</v>
      </c>
      <c r="B71" s="1">
        <v>264</v>
      </c>
      <c r="C71" s="1">
        <f t="shared" si="1"/>
        <v>238.00498179416053</v>
      </c>
      <c r="D71" s="1">
        <f t="shared" si="2"/>
        <v>3.5000788273891787</v>
      </c>
      <c r="E71" s="1">
        <v>1.0770882589999999</v>
      </c>
      <c r="F71" s="1">
        <f t="shared" si="3"/>
        <v>244.65691807437054</v>
      </c>
    </row>
    <row r="72" spans="1:6" x14ac:dyDescent="0.25">
      <c r="A72" s="1" t="s">
        <v>80</v>
      </c>
      <c r="B72" s="1">
        <v>302</v>
      </c>
      <c r="C72" s="1">
        <f t="shared" si="1"/>
        <v>249.97735111273747</v>
      </c>
      <c r="D72" s="1">
        <f t="shared" si="2"/>
        <v>6.0417659747455055</v>
      </c>
      <c r="E72" s="1">
        <v>1.174037073</v>
      </c>
      <c r="F72" s="1">
        <f t="shared" si="3"/>
        <v>277.64931320585276</v>
      </c>
    </row>
    <row r="73" spans="1:6" x14ac:dyDescent="0.25">
      <c r="A73" s="1" t="s">
        <v>81</v>
      </c>
      <c r="B73" s="1">
        <v>293</v>
      </c>
      <c r="C73" s="1">
        <f t="shared" si="1"/>
        <v>255.66891187629935</v>
      </c>
      <c r="D73" s="1">
        <f t="shared" si="2"/>
        <v>5.9367044113904184</v>
      </c>
      <c r="E73" s="1">
        <v>1.1600106670000001</v>
      </c>
      <c r="F73" s="1">
        <f t="shared" si="3"/>
        <v>294.00541543315416</v>
      </c>
    </row>
    <row r="74" spans="1:6" x14ac:dyDescent="0.25">
      <c r="A74" s="1" t="s">
        <v>82</v>
      </c>
      <c r="B74" s="1">
        <v>259</v>
      </c>
      <c r="C74" s="1">
        <f t="shared" si="1"/>
        <v>258.23954231800599</v>
      </c>
      <c r="D74" s="1">
        <f t="shared" si="2"/>
        <v>4.9268822204852851</v>
      </c>
      <c r="E74" s="1">
        <v>1.027690759</v>
      </c>
      <c r="F74" s="1">
        <f t="shared" si="3"/>
        <v>267.60827513754379</v>
      </c>
    </row>
    <row r="75" spans="1:6" x14ac:dyDescent="0.25">
      <c r="A75" s="1" t="s">
        <v>83</v>
      </c>
      <c r="B75" s="1">
        <v>229</v>
      </c>
      <c r="C75" s="1">
        <f t="shared" si="1"/>
        <v>260.99050696255927</v>
      </c>
      <c r="D75" s="1">
        <f t="shared" si="2"/>
        <v>4.2741069477056826</v>
      </c>
      <c r="E75" s="1">
        <v>0.89229422199999997</v>
      </c>
      <c r="F75" s="1">
        <f t="shared" si="3"/>
        <v>233.83346563499265</v>
      </c>
    </row>
    <row r="76" spans="1:6" x14ac:dyDescent="0.25">
      <c r="A76" s="1" t="s">
        <v>84</v>
      </c>
      <c r="B76" s="1">
        <v>203</v>
      </c>
      <c r="C76" s="1">
        <f t="shared" si="1"/>
        <v>264.82334712629404</v>
      </c>
      <c r="D76" s="1">
        <f t="shared" si="2"/>
        <v>4.1417269125144092</v>
      </c>
      <c r="E76" s="1">
        <v>0.77216892400000003</v>
      </c>
      <c r="F76" s="1">
        <f t="shared" si="3"/>
        <v>203.84775009923132</v>
      </c>
    </row>
    <row r="77" spans="1:6" x14ac:dyDescent="0.25">
      <c r="A77" s="1" t="s">
        <v>85</v>
      </c>
      <c r="B77" s="1">
        <v>229</v>
      </c>
      <c r="C77" s="1">
        <f t="shared" si="1"/>
        <v>267.16051193769073</v>
      </c>
      <c r="D77" s="1">
        <f t="shared" si="2"/>
        <v>3.6003582821790929</v>
      </c>
      <c r="E77" s="1">
        <v>0.86700508700000001</v>
      </c>
      <c r="F77" s="1">
        <f t="shared" si="3"/>
        <v>232.90658903554802</v>
      </c>
    </row>
    <row r="78" spans="1:6" x14ac:dyDescent="0.25">
      <c r="A78" s="1" t="s">
        <v>86</v>
      </c>
      <c r="B78" s="1">
        <v>242</v>
      </c>
      <c r="C78" s="1">
        <f t="shared" si="1"/>
        <v>272.18769758581971</v>
      </c>
      <c r="D78" s="1">
        <f t="shared" si="2"/>
        <v>4.0284064919640574</v>
      </c>
      <c r="E78" s="1">
        <v>0.88577958000000001</v>
      </c>
      <c r="F78" s="1">
        <f t="shared" si="3"/>
        <v>238.85328967696202</v>
      </c>
    </row>
    <row r="79" spans="1:6" x14ac:dyDescent="0.25">
      <c r="A79" s="1" t="s">
        <v>87</v>
      </c>
      <c r="B79" s="1">
        <v>233</v>
      </c>
      <c r="C79" s="1">
        <f t="shared" si="1"/>
        <v>269.04004593255246</v>
      </c>
      <c r="D79" s="1">
        <f t="shared" si="2"/>
        <v>1.8755890483946662</v>
      </c>
      <c r="E79" s="1">
        <v>0.89384978900000001</v>
      </c>
      <c r="F79" s="1">
        <f t="shared" si="3"/>
        <v>249.1844481786033</v>
      </c>
    </row>
    <row r="80" spans="1:6" x14ac:dyDescent="0.25">
      <c r="A80" s="1" t="s">
        <v>88</v>
      </c>
      <c r="B80" s="1">
        <v>267</v>
      </c>
      <c r="C80" s="1">
        <f t="shared" si="1"/>
        <v>265.25229157136005</v>
      </c>
      <c r="D80" s="1">
        <f t="shared" si="2"/>
        <v>0.17658602551854252</v>
      </c>
      <c r="E80" s="1">
        <v>1.0288316879999999</v>
      </c>
      <c r="F80" s="1">
        <f t="shared" si="3"/>
        <v>281.72317271028834</v>
      </c>
    </row>
    <row r="81" spans="1:6" x14ac:dyDescent="0.25">
      <c r="A81" s="1" t="s">
        <v>89</v>
      </c>
      <c r="B81" s="1">
        <v>269</v>
      </c>
      <c r="C81" s="1">
        <f t="shared" si="1"/>
        <v>266.80625221862454</v>
      </c>
      <c r="D81" s="1">
        <f t="shared" si="2"/>
        <v>0.58979841204232641</v>
      </c>
      <c r="E81" s="1">
        <v>0.99736713700000001</v>
      </c>
      <c r="F81" s="1">
        <f t="shared" si="3"/>
        <v>265.55492817827604</v>
      </c>
    </row>
    <row r="82" spans="1:6" x14ac:dyDescent="0.25">
      <c r="A82" s="1" t="s">
        <v>90</v>
      </c>
      <c r="B82" s="1">
        <v>270</v>
      </c>
      <c r="C82" s="1">
        <f t="shared" si="1"/>
        <v>271.39308582524075</v>
      </c>
      <c r="D82" s="1">
        <f t="shared" si="2"/>
        <v>1.7889089704144914</v>
      </c>
      <c r="E82" s="1">
        <v>0.97426460500000001</v>
      </c>
      <c r="F82" s="1">
        <f t="shared" si="3"/>
        <v>260.27357872410346</v>
      </c>
    </row>
    <row r="83" spans="1:6" x14ac:dyDescent="0.25">
      <c r="A83" s="1" t="s">
        <v>91</v>
      </c>
      <c r="B83" s="1">
        <v>315</v>
      </c>
      <c r="C83" s="1">
        <f t="shared" si="1"/>
        <v>280.89125377678045</v>
      </c>
      <c r="D83" s="1">
        <f t="shared" si="2"/>
        <v>4.1016866647520533</v>
      </c>
      <c r="E83" s="1">
        <v>1.085393869</v>
      </c>
      <c r="F83" s="1">
        <f t="shared" si="3"/>
        <v>294.2411191645993</v>
      </c>
    </row>
    <row r="84" spans="1:6" x14ac:dyDescent="0.25">
      <c r="A84" s="1" t="s">
        <v>92</v>
      </c>
      <c r="B84" s="1">
        <v>364</v>
      </c>
      <c r="C84" s="1">
        <f t="shared" ref="C84:C147" si="4">$C$1*(B84/E72)+(1-$C$1)*(C83+D83)</f>
        <v>295.0122909559808</v>
      </c>
      <c r="D84" s="1">
        <f t="shared" ref="D84:D147" si="5">$D$2*(C84-C83)+(1-$D$2)*D83</f>
        <v>7.1074918190865439</v>
      </c>
      <c r="E84" s="1">
        <v>1.19012889</v>
      </c>
      <c r="F84" s="1">
        <f t="shared" ref="F84:F147" si="6">(C83+D83)*E72</f>
        <v>334.59227762164011</v>
      </c>
    </row>
    <row r="85" spans="1:6" x14ac:dyDescent="0.25">
      <c r="A85" s="1" t="s">
        <v>93</v>
      </c>
      <c r="B85" s="1">
        <v>347</v>
      </c>
      <c r="C85" s="1">
        <f t="shared" si="4"/>
        <v>300.92594177712033</v>
      </c>
      <c r="D85" s="1">
        <f t="shared" si="5"/>
        <v>6.7493395197024384</v>
      </c>
      <c r="E85" s="1">
        <v>1.1624561550000001</v>
      </c>
      <c r="F85" s="1">
        <f t="shared" si="6"/>
        <v>350.46217073080101</v>
      </c>
    </row>
    <row r="86" spans="1:6" x14ac:dyDescent="0.25">
      <c r="A86" s="1" t="s">
        <v>94</v>
      </c>
      <c r="B86" s="1">
        <v>312</v>
      </c>
      <c r="C86" s="1">
        <f t="shared" si="4"/>
        <v>306.04247752789433</v>
      </c>
      <c r="D86" s="1">
        <f t="shared" si="5"/>
        <v>6.259498389023908</v>
      </c>
      <c r="E86" s="1">
        <v>1.0289252929999999</v>
      </c>
      <c r="F86" s="1">
        <f t="shared" si="6"/>
        <v>316.19504336147031</v>
      </c>
    </row>
    <row r="87" spans="1:6" x14ac:dyDescent="0.25">
      <c r="A87" s="1" t="s">
        <v>95</v>
      </c>
      <c r="B87" s="1">
        <v>274</v>
      </c>
      <c r="C87" s="1">
        <f t="shared" si="4"/>
        <v>310.21062599451591</v>
      </c>
      <c r="D87" s="1">
        <f t="shared" si="5"/>
        <v>5.6320934123032078</v>
      </c>
      <c r="E87" s="1">
        <v>0.89222191200000001</v>
      </c>
      <c r="F87" s="1">
        <f t="shared" si="6"/>
        <v>278.66524862984932</v>
      </c>
    </row>
    <row r="88" spans="1:6" x14ac:dyDescent="0.25">
      <c r="A88" s="1" t="s">
        <v>96</v>
      </c>
      <c r="B88" s="1">
        <v>237</v>
      </c>
      <c r="C88" s="1">
        <f t="shared" si="4"/>
        <v>312.2766951426272</v>
      </c>
      <c r="D88" s="1">
        <f t="shared" si="5"/>
        <v>4.5622861330456344</v>
      </c>
      <c r="E88" s="1">
        <v>0.76990435000000002</v>
      </c>
      <c r="F88" s="1">
        <f t="shared" si="6"/>
        <v>243.88393279759745</v>
      </c>
    </row>
    <row r="89" spans="1:6" x14ac:dyDescent="0.25">
      <c r="A89" s="1" t="s">
        <v>97</v>
      </c>
      <c r="B89" s="1">
        <v>278</v>
      </c>
      <c r="C89" s="1">
        <f t="shared" si="4"/>
        <v>318.3609984003977</v>
      </c>
      <c r="D89" s="1">
        <f t="shared" si="5"/>
        <v>5.0188912704630937</v>
      </c>
      <c r="E89" s="1">
        <v>0.868776047</v>
      </c>
      <c r="F89" s="1">
        <f t="shared" si="6"/>
        <v>274.7010085259061</v>
      </c>
    </row>
    <row r="90" spans="1:6" x14ac:dyDescent="0.25">
      <c r="A90" s="1" t="s">
        <v>98</v>
      </c>
      <c r="B90" s="1">
        <v>284</v>
      </c>
      <c r="C90" s="1">
        <f t="shared" si="4"/>
        <v>322.27654391384914</v>
      </c>
      <c r="D90" s="1">
        <f t="shared" si="5"/>
        <v>4.6878875433595955</v>
      </c>
      <c r="E90" s="1">
        <v>0.88484715400000002</v>
      </c>
      <c r="F90" s="1">
        <f t="shared" si="6"/>
        <v>286.44330285310139</v>
      </c>
    </row>
    <row r="91" spans="1:6" x14ac:dyDescent="0.25">
      <c r="A91" s="1" t="s">
        <v>99</v>
      </c>
      <c r="B91" s="1">
        <v>277</v>
      </c>
      <c r="C91" s="1">
        <f t="shared" si="4"/>
        <v>320.13684666330283</v>
      </c>
      <c r="D91" s="1">
        <f t="shared" si="5"/>
        <v>2.6396121051878252</v>
      </c>
      <c r="E91" s="1">
        <v>0.88606564899999996</v>
      </c>
      <c r="F91" s="1">
        <f t="shared" si="6"/>
        <v>292.257088068531</v>
      </c>
    </row>
    <row r="92" spans="1:6" x14ac:dyDescent="0.25">
      <c r="A92" s="1" t="s">
        <v>100</v>
      </c>
      <c r="B92" s="1">
        <v>317</v>
      </c>
      <c r="C92" s="1">
        <f t="shared" si="4"/>
        <v>316.91246795352322</v>
      </c>
      <c r="D92" s="1">
        <f t="shared" si="5"/>
        <v>0.88041486069759312</v>
      </c>
      <c r="E92" s="1">
        <v>1.018654054</v>
      </c>
      <c r="F92" s="1">
        <f t="shared" si="6"/>
        <v>332.08264892144865</v>
      </c>
    </row>
    <row r="93" spans="1:6" x14ac:dyDescent="0.25">
      <c r="A93" s="1" t="s">
        <v>101</v>
      </c>
      <c r="B93" s="1">
        <v>313</v>
      </c>
      <c r="C93" s="1">
        <f t="shared" si="4"/>
        <v>316.20623430952043</v>
      </c>
      <c r="D93" s="1">
        <f t="shared" si="5"/>
        <v>0.40442030928747708</v>
      </c>
      <c r="E93" s="1">
        <v>0.99083771399999998</v>
      </c>
      <c r="F93" s="1">
        <f t="shared" si="6"/>
        <v>316.95617769139596</v>
      </c>
    </row>
    <row r="94" spans="1:6" x14ac:dyDescent="0.25">
      <c r="A94" s="1" t="s">
        <v>102</v>
      </c>
      <c r="B94" s="1">
        <v>318</v>
      </c>
      <c r="C94" s="1">
        <f t="shared" si="4"/>
        <v>320.52640629040468</v>
      </c>
      <c r="D94" s="1">
        <f t="shared" si="5"/>
        <v>1.5791458107665102</v>
      </c>
      <c r="E94" s="1">
        <v>0.97416826300000003</v>
      </c>
      <c r="F94" s="1">
        <f t="shared" si="6"/>
        <v>308.46255436098431</v>
      </c>
    </row>
    <row r="95" spans="1:6" x14ac:dyDescent="0.25">
      <c r="A95" s="1" t="s">
        <v>103</v>
      </c>
      <c r="B95" s="1">
        <v>374</v>
      </c>
      <c r="C95" s="1">
        <f t="shared" si="4"/>
        <v>331.09348146952061</v>
      </c>
      <c r="D95" s="1">
        <f t="shared" si="5"/>
        <v>4.2755246212713365</v>
      </c>
      <c r="E95" s="1">
        <v>1.093698507</v>
      </c>
      <c r="F95" s="1">
        <f t="shared" si="6"/>
        <v>349.6113914214713</v>
      </c>
    </row>
    <row r="96" spans="1:6" x14ac:dyDescent="0.25">
      <c r="A96" s="1" t="s">
        <v>104</v>
      </c>
      <c r="B96" s="1">
        <v>413</v>
      </c>
      <c r="C96" s="1">
        <f t="shared" si="4"/>
        <v>340.02989858984307</v>
      </c>
      <c r="D96" s="1">
        <f t="shared" si="5"/>
        <v>5.6737923709866731</v>
      </c>
      <c r="E96" s="1">
        <v>1.1969281510000001</v>
      </c>
      <c r="F96" s="1">
        <f t="shared" si="6"/>
        <v>399.13234295923746</v>
      </c>
    </row>
    <row r="97" spans="1:6" x14ac:dyDescent="0.25">
      <c r="A97" s="1" t="s">
        <v>105</v>
      </c>
      <c r="B97" s="1">
        <v>405</v>
      </c>
      <c r="C97" s="1">
        <f t="shared" si="4"/>
        <v>346.78230940949391</v>
      </c>
      <c r="D97" s="1">
        <f t="shared" si="5"/>
        <v>5.9973779055859211</v>
      </c>
      <c r="E97" s="1">
        <v>1.1663634380000001</v>
      </c>
      <c r="F97" s="1">
        <f t="shared" si="6"/>
        <v>401.86538336363446</v>
      </c>
    </row>
    <row r="98" spans="1:6" x14ac:dyDescent="0.25">
      <c r="A98" s="1" t="s">
        <v>106</v>
      </c>
      <c r="B98" s="1">
        <v>355</v>
      </c>
      <c r="C98" s="1">
        <f t="shared" si="4"/>
        <v>349.67588835535616</v>
      </c>
      <c r="D98" s="1">
        <f t="shared" si="5"/>
        <v>5.0662382176688228</v>
      </c>
      <c r="E98" s="1">
        <v>1.028036025</v>
      </c>
      <c r="F98" s="1">
        <f t="shared" si="6"/>
        <v>362.98394313511687</v>
      </c>
    </row>
    <row r="99" spans="1:6" x14ac:dyDescent="0.25">
      <c r="A99" s="1" t="s">
        <v>107</v>
      </c>
      <c r="B99" s="1">
        <v>306</v>
      </c>
      <c r="C99" s="1">
        <f t="shared" si="4"/>
        <v>350.03087781457469</v>
      </c>
      <c r="D99" s="1">
        <f t="shared" si="5"/>
        <v>3.6528635901337347</v>
      </c>
      <c r="E99" s="1">
        <v>0.88907681699999996</v>
      </c>
      <c r="F99" s="1">
        <f t="shared" si="6"/>
        <v>316.50869843793032</v>
      </c>
    </row>
    <row r="100" spans="1:6" x14ac:dyDescent="0.25">
      <c r="A100" s="1" t="s">
        <v>108</v>
      </c>
      <c r="B100" s="1">
        <v>271</v>
      </c>
      <c r="C100" s="1">
        <f t="shared" si="4"/>
        <v>353.00695549915531</v>
      </c>
      <c r="D100" s="1">
        <f t="shared" si="5"/>
        <v>3.4498278184677993</v>
      </c>
      <c r="E100" s="1">
        <v>0.76962423499999999</v>
      </c>
      <c r="F100" s="1">
        <f t="shared" si="6"/>
        <v>272.30265103176015</v>
      </c>
    </row>
    <row r="101" spans="1:6" x14ac:dyDescent="0.25">
      <c r="A101" s="1" t="s">
        <v>109</v>
      </c>
      <c r="B101" s="1">
        <v>306</v>
      </c>
      <c r="C101" s="1">
        <f t="shared" si="4"/>
        <v>354.76193219932554</v>
      </c>
      <c r="D101" s="1">
        <f t="shared" si="5"/>
        <v>2.941372482978529</v>
      </c>
      <c r="E101" s="1">
        <v>0.86719540500000003</v>
      </c>
      <c r="F101" s="1">
        <f t="shared" si="6"/>
        <v>309.68111513702013</v>
      </c>
    </row>
    <row r="102" spans="1:6" x14ac:dyDescent="0.25">
      <c r="A102" s="1" t="s">
        <v>110</v>
      </c>
      <c r="B102" s="1">
        <v>315</v>
      </c>
      <c r="C102" s="1">
        <f t="shared" si="4"/>
        <v>357.01945725500855</v>
      </c>
      <c r="D102" s="1">
        <f t="shared" si="5"/>
        <v>2.7362182547898715</v>
      </c>
      <c r="E102" s="1">
        <v>0.88372279099999995</v>
      </c>
      <c r="F102" s="1">
        <f t="shared" si="6"/>
        <v>316.51275112453163</v>
      </c>
    </row>
    <row r="103" spans="1:6" x14ac:dyDescent="0.25">
      <c r="A103" s="1" t="s">
        <v>111</v>
      </c>
      <c r="B103" s="1">
        <v>301</v>
      </c>
      <c r="C103" s="1">
        <f t="shared" si="4"/>
        <v>351.73498488847724</v>
      </c>
      <c r="D103" s="1">
        <f t="shared" si="5"/>
        <v>0.33001106839351868</v>
      </c>
      <c r="E103" s="1">
        <v>0.87741915599999998</v>
      </c>
      <c r="F103" s="1">
        <f t="shared" si="6"/>
        <v>318.76714610202293</v>
      </c>
    </row>
    <row r="104" spans="1:6" x14ac:dyDescent="0.25">
      <c r="A104" s="1" t="s">
        <v>112</v>
      </c>
      <c r="B104" s="1">
        <v>356</v>
      </c>
      <c r="C104" s="1">
        <f t="shared" si="4"/>
        <v>351.03130433502008</v>
      </c>
      <c r="D104" s="1">
        <f t="shared" si="5"/>
        <v>1.9903581838314671E-2</v>
      </c>
      <c r="E104" s="1">
        <v>1.0142927879999999</v>
      </c>
      <c r="F104" s="1">
        <f t="shared" si="6"/>
        <v>358.63243540295997</v>
      </c>
    </row>
    <row r="105" spans="1:6" x14ac:dyDescent="0.25">
      <c r="A105" s="1" t="s">
        <v>113</v>
      </c>
      <c r="B105" s="1">
        <v>348</v>
      </c>
      <c r="C105" s="1">
        <f t="shared" si="4"/>
        <v>351.11790850703045</v>
      </c>
      <c r="D105" s="1">
        <f t="shared" si="5"/>
        <v>3.9913758889930692E-2</v>
      </c>
      <c r="E105" s="1">
        <v>0.98762156300000004</v>
      </c>
      <c r="F105" s="1">
        <f t="shared" si="6"/>
        <v>347.83477634927868</v>
      </c>
    </row>
    <row r="106" spans="1:6" x14ac:dyDescent="0.25">
      <c r="A106" s="1" t="s">
        <v>114</v>
      </c>
      <c r="B106" s="1">
        <v>355</v>
      </c>
      <c r="C106" s="1">
        <f t="shared" si="4"/>
        <v>356.46006613273607</v>
      </c>
      <c r="D106" s="1">
        <f t="shared" si="5"/>
        <v>1.6305869189346387</v>
      </c>
      <c r="E106" s="1">
        <v>0.97698916499999999</v>
      </c>
      <c r="F106" s="1">
        <f t="shared" si="6"/>
        <v>342.08680575565444</v>
      </c>
    </row>
    <row r="107" spans="1:6" x14ac:dyDescent="0.25">
      <c r="A107" s="1" t="s">
        <v>115</v>
      </c>
      <c r="B107" s="1">
        <v>422</v>
      </c>
      <c r="C107" s="1">
        <f t="shared" si="4"/>
        <v>369.19308656234671</v>
      </c>
      <c r="D107" s="1">
        <f t="shared" si="5"/>
        <v>4.9613169721374373</v>
      </c>
      <c r="E107" s="1">
        <v>1.1058300830000001</v>
      </c>
      <c r="F107" s="1">
        <f t="shared" si="6"/>
        <v>391.64321261326728</v>
      </c>
    </row>
    <row r="108" spans="1:6" x14ac:dyDescent="0.25">
      <c r="A108" s="1" t="s">
        <v>116</v>
      </c>
      <c r="B108" s="1">
        <v>465</v>
      </c>
      <c r="C108" s="1">
        <f t="shared" si="4"/>
        <v>379.89044093142297</v>
      </c>
      <c r="D108" s="1">
        <f t="shared" si="5"/>
        <v>6.6821281912190855</v>
      </c>
      <c r="E108" s="1">
        <v>1.2072706259999999</v>
      </c>
      <c r="F108" s="1">
        <f t="shared" si="6"/>
        <v>447.83593841103794</v>
      </c>
    </row>
    <row r="109" spans="1:6" x14ac:dyDescent="0.25">
      <c r="A109" s="1" t="s">
        <v>117</v>
      </c>
      <c r="B109" s="1">
        <v>467</v>
      </c>
      <c r="C109" s="1">
        <f t="shared" si="4"/>
        <v>392.09945335668726</v>
      </c>
      <c r="D109" s="1">
        <f t="shared" si="5"/>
        <v>8.3401934614326478</v>
      </c>
      <c r="E109" s="1">
        <v>1.178096129</v>
      </c>
      <c r="F109" s="1">
        <f t="shared" si="6"/>
        <v>450.88411075837746</v>
      </c>
    </row>
    <row r="110" spans="1:6" x14ac:dyDescent="0.25">
      <c r="A110" s="1" t="s">
        <v>118</v>
      </c>
      <c r="B110" s="1">
        <v>404</v>
      </c>
      <c r="C110" s="1">
        <f t="shared" si="4"/>
        <v>397.45672303690168</v>
      </c>
      <c r="D110" s="1">
        <f t="shared" si="5"/>
        <v>7.4453163270671778</v>
      </c>
      <c r="E110" s="1">
        <v>1.0307117079999999</v>
      </c>
      <c r="F110" s="1">
        <f t="shared" si="6"/>
        <v>411.6663827673039</v>
      </c>
    </row>
    <row r="111" spans="1:6" x14ac:dyDescent="0.25">
      <c r="A111" s="1" t="s">
        <v>119</v>
      </c>
      <c r="B111" s="1">
        <v>347</v>
      </c>
      <c r="C111" s="1">
        <f t="shared" si="4"/>
        <v>399.05821750013718</v>
      </c>
      <c r="D111" s="1">
        <f t="shared" si="5"/>
        <v>5.6921697679176733</v>
      </c>
      <c r="E111" s="1">
        <v>0.88781893700000003</v>
      </c>
      <c r="F111" s="1">
        <f t="shared" si="6"/>
        <v>359.98901635452614</v>
      </c>
    </row>
    <row r="112" spans="1:6" x14ac:dyDescent="0.25">
      <c r="A112" s="1" t="s">
        <v>120</v>
      </c>
      <c r="B112" s="1">
        <v>305</v>
      </c>
      <c r="C112" s="1">
        <f t="shared" si="4"/>
        <v>401.36914906308567</v>
      </c>
      <c r="D112" s="1">
        <f t="shared" si="5"/>
        <v>4.6777983064269204</v>
      </c>
      <c r="E112" s="1">
        <v>0.76888159099999998</v>
      </c>
      <c r="F112" s="1">
        <f t="shared" si="6"/>
        <v>311.50570716713042</v>
      </c>
    </row>
    <row r="113" spans="1:6" x14ac:dyDescent="0.25">
      <c r="A113" s="1" t="s">
        <v>121</v>
      </c>
      <c r="B113" s="1">
        <v>336</v>
      </c>
      <c r="C113" s="1">
        <f t="shared" si="4"/>
        <v>398.61053943646169</v>
      </c>
      <c r="D113" s="1">
        <f t="shared" si="5"/>
        <v>2.4468759265116504</v>
      </c>
      <c r="E113" s="1">
        <v>0.86156694499999997</v>
      </c>
      <c r="F113" s="1">
        <f t="shared" si="6"/>
        <v>352.12204697311813</v>
      </c>
    </row>
    <row r="114" spans="1:6" x14ac:dyDescent="0.25">
      <c r="A114" s="1" t="s">
        <v>122</v>
      </c>
      <c r="B114" s="1">
        <v>340</v>
      </c>
      <c r="C114" s="1">
        <f t="shared" si="4"/>
        <v>394.52886201900372</v>
      </c>
      <c r="D114" s="1">
        <f t="shared" si="5"/>
        <v>0.48830992332076506</v>
      </c>
      <c r="E114" s="1">
        <v>0.87659068399999995</v>
      </c>
      <c r="F114" s="1">
        <f t="shared" si="6"/>
        <v>354.42357845581307</v>
      </c>
    </row>
    <row r="115" spans="1:6" x14ac:dyDescent="0.25">
      <c r="A115" s="1" t="s">
        <v>123</v>
      </c>
      <c r="B115" s="1">
        <v>318</v>
      </c>
      <c r="C115" s="1">
        <f t="shared" si="4"/>
        <v>381.98092425358982</v>
      </c>
      <c r="D115" s="1">
        <f t="shared" si="5"/>
        <v>-3.422564383299636</v>
      </c>
      <c r="E115" s="1">
        <v>0.86260166299999996</v>
      </c>
      <c r="F115" s="1">
        <f t="shared" si="6"/>
        <v>346.59563361114118</v>
      </c>
    </row>
    <row r="116" spans="1:6" x14ac:dyDescent="0.25">
      <c r="A116" s="1" t="s">
        <v>124</v>
      </c>
      <c r="B116" s="1">
        <v>362</v>
      </c>
      <c r="C116" s="1">
        <f t="shared" si="4"/>
        <v>369.89458368516608</v>
      </c>
      <c r="D116" s="1">
        <f t="shared" si="5"/>
        <v>-6.0216972388368664</v>
      </c>
      <c r="E116" s="1">
        <v>0.99770073500000001</v>
      </c>
      <c r="F116" s="1">
        <f t="shared" si="6"/>
        <v>383.96901425354389</v>
      </c>
    </row>
    <row r="117" spans="1:6" x14ac:dyDescent="0.25">
      <c r="A117" s="1" t="s">
        <v>125</v>
      </c>
      <c r="B117" s="1">
        <v>348</v>
      </c>
      <c r="C117" s="1">
        <f t="shared" si="4"/>
        <v>359.26840664501276</v>
      </c>
      <c r="D117" s="1">
        <f t="shared" si="5"/>
        <v>-7.4030411792318027</v>
      </c>
      <c r="E117" s="1">
        <v>0.97318450199999995</v>
      </c>
      <c r="F117" s="1">
        <f t="shared" si="6"/>
        <v>359.36870884544521</v>
      </c>
    </row>
    <row r="118" spans="1:6" x14ac:dyDescent="0.25">
      <c r="A118" s="1" t="s">
        <v>126</v>
      </c>
      <c r="B118" s="1">
        <v>363</v>
      </c>
      <c r="C118" s="1">
        <f t="shared" si="4"/>
        <v>359.73908652231563</v>
      </c>
      <c r="D118" s="1">
        <f t="shared" si="5"/>
        <v>-5.0409248622714005</v>
      </c>
      <c r="E118" s="1">
        <v>0.97494275699999999</v>
      </c>
      <c r="F118" s="1">
        <f t="shared" si="6"/>
        <v>343.76864959883318</v>
      </c>
    </row>
    <row r="119" spans="1:6" x14ac:dyDescent="0.25">
      <c r="A119" s="1" t="s">
        <v>127</v>
      </c>
      <c r="B119" s="1">
        <v>435</v>
      </c>
      <c r="C119" s="1">
        <f t="shared" si="4"/>
        <v>370.16675963325594</v>
      </c>
      <c r="D119" s="1">
        <f t="shared" si="5"/>
        <v>-0.40034547030788881</v>
      </c>
      <c r="E119" s="1">
        <v>1.116121811</v>
      </c>
      <c r="F119" s="1">
        <f t="shared" si="6"/>
        <v>392.23589754847416</v>
      </c>
    </row>
    <row r="120" spans="1:6" x14ac:dyDescent="0.25">
      <c r="A120" s="1" t="s">
        <v>128</v>
      </c>
      <c r="B120" s="1">
        <v>491</v>
      </c>
      <c r="C120" s="1">
        <f t="shared" si="4"/>
        <v>384.54085453758614</v>
      </c>
      <c r="D120" s="1">
        <f t="shared" si="5"/>
        <v>4.03198664208354</v>
      </c>
      <c r="E120" s="1">
        <v>1.224297593</v>
      </c>
      <c r="F120" s="1">
        <f t="shared" si="6"/>
        <v>446.40813030027749</v>
      </c>
    </row>
    <row r="121" spans="1:6" x14ac:dyDescent="0.25">
      <c r="A121" s="1" t="s">
        <v>129</v>
      </c>
      <c r="B121" s="1">
        <v>505</v>
      </c>
      <c r="C121" s="1">
        <f t="shared" si="4"/>
        <v>404.60679250477392</v>
      </c>
      <c r="D121" s="1">
        <f t="shared" si="5"/>
        <v>8.8421720396148107</v>
      </c>
      <c r="E121" s="1">
        <v>1.2020257480000001</v>
      </c>
      <c r="F121" s="1">
        <f t="shared" si="6"/>
        <v>457.77616002830069</v>
      </c>
    </row>
    <row r="122" spans="1:6" x14ac:dyDescent="0.25">
      <c r="A122" s="1" t="s">
        <v>130</v>
      </c>
      <c r="B122" s="1">
        <v>404</v>
      </c>
      <c r="C122" s="1">
        <f t="shared" si="4"/>
        <v>404.85424761452987</v>
      </c>
      <c r="D122" s="1">
        <f t="shared" si="5"/>
        <v>6.2637569606571519</v>
      </c>
      <c r="E122" s="1">
        <v>1.03092926</v>
      </c>
      <c r="F122" s="1">
        <f t="shared" si="6"/>
        <v>426.14668841637831</v>
      </c>
    </row>
    <row r="123" spans="1:6" x14ac:dyDescent="0.25">
      <c r="A123" s="1" t="s">
        <v>131</v>
      </c>
      <c r="B123" s="1">
        <v>359</v>
      </c>
      <c r="C123" s="1">
        <f t="shared" si="4"/>
        <v>408.41549416297505</v>
      </c>
      <c r="D123" s="1">
        <f t="shared" si="5"/>
        <v>5.4530038369935605</v>
      </c>
      <c r="E123" s="1">
        <v>0.89157588099999996</v>
      </c>
      <c r="F123" s="1">
        <f t="shared" si="6"/>
        <v>364.99834980350369</v>
      </c>
    </row>
    <row r="124" spans="1:6" x14ac:dyDescent="0.25">
      <c r="A124" s="1" t="s">
        <v>132</v>
      </c>
      <c r="B124" s="1">
        <v>310</v>
      </c>
      <c r="C124" s="1">
        <f t="shared" si="4"/>
        <v>409.59430582100867</v>
      </c>
      <c r="D124" s="1">
        <f t="shared" si="5"/>
        <v>4.170746183305579</v>
      </c>
      <c r="E124" s="1">
        <v>0.77018361999999996</v>
      </c>
      <c r="F124" s="1">
        <f t="shared" si="6"/>
        <v>318.21586920699616</v>
      </c>
    </row>
    <row r="125" spans="1:6" x14ac:dyDescent="0.25">
      <c r="A125" s="1" t="s">
        <v>133</v>
      </c>
      <c r="B125" s="1">
        <v>337</v>
      </c>
      <c r="C125" s="1">
        <f t="shared" si="4"/>
        <v>404.71814419699433</v>
      </c>
      <c r="D125" s="1">
        <f t="shared" si="5"/>
        <v>1.4566738411096021</v>
      </c>
      <c r="E125" s="1">
        <v>0.85748204100000003</v>
      </c>
      <c r="F125" s="1">
        <f t="shared" si="6"/>
        <v>356.48629180312315</v>
      </c>
    </row>
    <row r="126" spans="1:6" x14ac:dyDescent="0.25">
      <c r="A126" s="1" t="s">
        <v>134</v>
      </c>
      <c r="B126" s="1">
        <v>360</v>
      </c>
      <c r="C126" s="1">
        <f t="shared" si="4"/>
        <v>407.97768384743438</v>
      </c>
      <c r="D126" s="1">
        <f t="shared" si="5"/>
        <v>1.9975335839087354</v>
      </c>
      <c r="E126" s="1">
        <v>0.87919939000000003</v>
      </c>
      <c r="F126" s="1">
        <f t="shared" si="6"/>
        <v>356.04906156759705</v>
      </c>
    </row>
    <row r="127" spans="1:6" x14ac:dyDescent="0.25">
      <c r="A127" s="1" t="s">
        <v>135</v>
      </c>
      <c r="B127" s="1">
        <v>342</v>
      </c>
      <c r="C127" s="1">
        <f t="shared" si="4"/>
        <v>404.57513308438627</v>
      </c>
      <c r="D127" s="1">
        <f t="shared" si="5"/>
        <v>0.37750827982168134</v>
      </c>
      <c r="E127" s="1">
        <v>0.85880663199999996</v>
      </c>
      <c r="F127" s="1">
        <f t="shared" si="6"/>
        <v>353.64530434506315</v>
      </c>
    </row>
    <row r="128" spans="1:6" x14ac:dyDescent="0.25">
      <c r="A128" s="1" t="s">
        <v>136</v>
      </c>
      <c r="B128" s="1">
        <v>406</v>
      </c>
      <c r="C128" s="1">
        <f t="shared" si="4"/>
        <v>405.7458459801145</v>
      </c>
      <c r="D128" s="1">
        <f t="shared" si="5"/>
        <v>0.61546966459364572</v>
      </c>
      <c r="E128" s="1">
        <v>0.99740712600000003</v>
      </c>
      <c r="F128" s="1">
        <f t="shared" si="6"/>
        <v>404.02154792926166</v>
      </c>
    </row>
    <row r="129" spans="1:6" x14ac:dyDescent="0.25">
      <c r="A129" s="1" t="s">
        <v>137</v>
      </c>
      <c r="B129" s="1">
        <v>396</v>
      </c>
      <c r="C129" s="1">
        <f t="shared" si="4"/>
        <v>406.58140357300522</v>
      </c>
      <c r="D129" s="1">
        <f t="shared" si="5"/>
        <v>0.68149604308276879</v>
      </c>
      <c r="E129" s="1">
        <v>0.97209190999999995</v>
      </c>
      <c r="F129" s="1">
        <f t="shared" si="6"/>
        <v>395.46453459776012</v>
      </c>
    </row>
    <row r="130" spans="1:6" x14ac:dyDescent="0.25">
      <c r="A130" s="1" t="s">
        <v>138</v>
      </c>
      <c r="B130" s="1">
        <v>420</v>
      </c>
      <c r="C130" s="1">
        <f t="shared" si="4"/>
        <v>416.67554898847652</v>
      </c>
      <c r="D130" s="1">
        <f t="shared" si="5"/>
        <v>3.5052908547993291</v>
      </c>
      <c r="E130" s="1">
        <v>0.98227314399999999</v>
      </c>
      <c r="F130" s="1">
        <f t="shared" si="6"/>
        <v>397.05801417552306</v>
      </c>
    </row>
    <row r="131" spans="1:6" x14ac:dyDescent="0.25">
      <c r="A131" s="1" t="s">
        <v>139</v>
      </c>
      <c r="B131" s="1">
        <v>472</v>
      </c>
      <c r="C131" s="1">
        <f t="shared" si="4"/>
        <v>421.26566770231034</v>
      </c>
      <c r="D131" s="1">
        <f t="shared" si="5"/>
        <v>3.8307392125096755</v>
      </c>
      <c r="E131" s="1">
        <v>1.118021605</v>
      </c>
      <c r="F131" s="1">
        <f t="shared" si="6"/>
        <v>468.97299991337798</v>
      </c>
    </row>
    <row r="132" spans="1:6" x14ac:dyDescent="0.25">
      <c r="A132" s="1" t="s">
        <v>140</v>
      </c>
      <c r="B132" s="1">
        <v>548</v>
      </c>
      <c r="C132" s="1">
        <f t="shared" si="4"/>
        <v>434.09928084965009</v>
      </c>
      <c r="D132" s="1">
        <f t="shared" si="5"/>
        <v>6.5316013929586969</v>
      </c>
      <c r="E132" s="1">
        <v>1.235637989</v>
      </c>
      <c r="F132" s="1">
        <f t="shared" si="6"/>
        <v>520.44450777876273</v>
      </c>
    </row>
    <row r="133" spans="1:6" x14ac:dyDescent="0.25">
      <c r="A133" s="1" t="s">
        <v>141</v>
      </c>
      <c r="B133" s="1">
        <v>559</v>
      </c>
      <c r="C133" s="1">
        <f t="shared" si="4"/>
        <v>450.39783914158136</v>
      </c>
      <c r="D133" s="1">
        <f t="shared" si="5"/>
        <v>9.4616884626504696</v>
      </c>
      <c r="E133" s="1">
        <v>1.216149972</v>
      </c>
      <c r="F133" s="1">
        <f t="shared" si="6"/>
        <v>529.64966581957174</v>
      </c>
    </row>
    <row r="134" spans="1:6" x14ac:dyDescent="0.25">
      <c r="A134" s="1" t="s">
        <v>142</v>
      </c>
      <c r="B134" s="1">
        <v>463</v>
      </c>
      <c r="C134" s="1">
        <f t="shared" si="4"/>
        <v>455.55946825894546</v>
      </c>
      <c r="D134" s="1">
        <f t="shared" si="5"/>
        <v>8.1716706590645583</v>
      </c>
      <c r="E134" s="1">
        <v>1.0320119000000001</v>
      </c>
      <c r="F134" s="1">
        <f t="shared" si="6"/>
        <v>474.08264249698027</v>
      </c>
    </row>
    <row r="135" spans="1:6" x14ac:dyDescent="0.25">
      <c r="A135" s="1" t="s">
        <v>143</v>
      </c>
      <c r="B135" s="1">
        <v>407</v>
      </c>
      <c r="C135" s="1">
        <f t="shared" si="4"/>
        <v>460.83671394961721</v>
      </c>
      <c r="D135" s="1">
        <f t="shared" si="5"/>
        <v>7.3033431685467152</v>
      </c>
      <c r="E135" s="1">
        <v>0.89239858599999999</v>
      </c>
      <c r="F135" s="1">
        <f t="shared" si="6"/>
        <v>413.45149872795815</v>
      </c>
    </row>
    <row r="136" spans="1:6" x14ac:dyDescent="0.25">
      <c r="A136" s="1" t="s">
        <v>144</v>
      </c>
      <c r="B136" s="1">
        <v>362</v>
      </c>
      <c r="C136" s="1">
        <f t="shared" si="4"/>
        <v>468.89114873017496</v>
      </c>
      <c r="D136" s="1">
        <f t="shared" si="5"/>
        <v>7.5286706521500264</v>
      </c>
      <c r="E136" s="1">
        <v>0.77240465899999999</v>
      </c>
      <c r="F136" s="1">
        <f t="shared" si="6"/>
        <v>360.55380385827419</v>
      </c>
    </row>
    <row r="137" spans="1:6" x14ac:dyDescent="0.25">
      <c r="A137" s="1" t="s">
        <v>145</v>
      </c>
      <c r="B137" s="1">
        <v>405</v>
      </c>
      <c r="C137" s="1">
        <f t="shared" si="4"/>
        <v>474.77713117269172</v>
      </c>
      <c r="D137" s="1">
        <f t="shared" si="5"/>
        <v>7.0358641892600469</v>
      </c>
      <c r="E137" s="1">
        <v>0.85783332999999995</v>
      </c>
      <c r="F137" s="1">
        <f t="shared" si="6"/>
        <v>408.5214390968074</v>
      </c>
    </row>
    <row r="138" spans="1:6" x14ac:dyDescent="0.25">
      <c r="A138" s="1" t="s">
        <v>146</v>
      </c>
      <c r="B138" s="1">
        <v>417</v>
      </c>
      <c r="C138" s="1">
        <f t="shared" si="4"/>
        <v>478.80585423265649</v>
      </c>
      <c r="D138" s="1">
        <f t="shared" si="5"/>
        <v>6.1337218504714608</v>
      </c>
      <c r="E138" s="1">
        <v>0.87775972000000002</v>
      </c>
      <c r="F138" s="1">
        <f t="shared" si="6"/>
        <v>423.60969161630084</v>
      </c>
    </row>
    <row r="139" spans="1:6" x14ac:dyDescent="0.25">
      <c r="A139" s="1" t="s">
        <v>147</v>
      </c>
      <c r="B139" s="1">
        <v>391</v>
      </c>
      <c r="C139" s="1">
        <f t="shared" si="4"/>
        <v>473.07691778010786</v>
      </c>
      <c r="D139" s="1">
        <f t="shared" si="5"/>
        <v>2.5749243595654354</v>
      </c>
      <c r="E139" s="1">
        <v>0.85007631500000003</v>
      </c>
      <c r="F139" s="1">
        <f t="shared" si="6"/>
        <v>416.46932405945887</v>
      </c>
    </row>
    <row r="140" spans="1:6" x14ac:dyDescent="0.25">
      <c r="A140" s="1" t="s">
        <v>148</v>
      </c>
      <c r="B140" s="1">
        <v>419</v>
      </c>
      <c r="C140" s="1">
        <f t="shared" si="4"/>
        <v>453.42680066944138</v>
      </c>
      <c r="D140" s="1">
        <f t="shared" si="5"/>
        <v>-4.0925880815041404</v>
      </c>
      <c r="E140" s="1">
        <v>0.97534624199999997</v>
      </c>
      <c r="F140" s="1">
        <f t="shared" si="6"/>
        <v>474.41853684513728</v>
      </c>
    </row>
    <row r="141" spans="1:6" x14ac:dyDescent="0.25">
      <c r="A141" s="1" t="s">
        <v>149</v>
      </c>
      <c r="B141" s="1">
        <v>461</v>
      </c>
      <c r="C141" s="1">
        <f t="shared" si="4"/>
        <v>459.29452469753852</v>
      </c>
      <c r="D141" s="1">
        <f t="shared" si="5"/>
        <v>-1.1044944486237553</v>
      </c>
      <c r="E141" s="1">
        <v>0.97212766900000003</v>
      </c>
      <c r="F141" s="1">
        <f t="shared" si="6"/>
        <v>436.79415294295393</v>
      </c>
    </row>
    <row r="142" spans="1:6" x14ac:dyDescent="0.25">
      <c r="A142" s="1" t="s">
        <v>150</v>
      </c>
      <c r="B142" s="1">
        <v>472</v>
      </c>
      <c r="C142" s="1">
        <f t="shared" si="4"/>
        <v>467.12124803570316</v>
      </c>
      <c r="D142" s="1">
        <f t="shared" si="5"/>
        <v>1.5748708874127635</v>
      </c>
      <c r="E142" s="1">
        <v>0.98377662399999999</v>
      </c>
      <c r="F142" s="1">
        <f t="shared" si="6"/>
        <v>450.0677615620566</v>
      </c>
    </row>
    <row r="143" spans="1:6" x14ac:dyDescent="0.25">
      <c r="A143" s="1" t="s">
        <v>151</v>
      </c>
      <c r="B143" s="1">
        <v>535</v>
      </c>
      <c r="C143" s="1">
        <f t="shared" si="4"/>
        <v>472.62721034931678</v>
      </c>
      <c r="D143" s="1">
        <f t="shared" si="5"/>
        <v>2.7541983152730207</v>
      </c>
      <c r="E143" s="1">
        <v>1.1178621550000001</v>
      </c>
      <c r="F143" s="1">
        <f t="shared" si="6"/>
        <v>524.01238713569296</v>
      </c>
    </row>
    <row r="144" spans="1:6" x14ac:dyDescent="0.25">
      <c r="A144" s="1" t="s">
        <v>152</v>
      </c>
      <c r="B144" s="1">
        <v>622</v>
      </c>
      <c r="C144" s="1">
        <f t="shared" si="4"/>
        <v>486.58231782980613</v>
      </c>
      <c r="D144" s="1">
        <f t="shared" si="5"/>
        <v>6.1144710648379181</v>
      </c>
      <c r="E144" s="1">
        <v>1.244786371</v>
      </c>
      <c r="F144" s="1">
        <f t="shared" si="6"/>
        <v>587.39932781030086</v>
      </c>
    </row>
    <row r="145" spans="1:6" x14ac:dyDescent="0.25">
      <c r="A145" s="1" t="s">
        <v>153</v>
      </c>
      <c r="B145" s="1">
        <v>606</v>
      </c>
      <c r="C145" s="1">
        <f t="shared" si="4"/>
        <v>494.93559632399251</v>
      </c>
      <c r="D145" s="1">
        <f t="shared" si="5"/>
        <v>6.7861132936424573</v>
      </c>
      <c r="E145" s="1">
        <v>1.219907273</v>
      </c>
      <c r="F145" s="1">
        <f t="shared" si="6"/>
        <v>599.19318601871123</v>
      </c>
    </row>
    <row r="146" spans="1:6" x14ac:dyDescent="0.25">
      <c r="A146" s="1" t="s">
        <v>154</v>
      </c>
      <c r="B146" s="1">
        <v>508</v>
      </c>
      <c r="C146" s="1">
        <f t="shared" si="4"/>
        <v>497.92998015647515</v>
      </c>
      <c r="D146" s="1">
        <f t="shared" si="5"/>
        <v>5.6485944552945115</v>
      </c>
      <c r="E146" s="1">
        <v>1.0311953549999999</v>
      </c>
      <c r="F146" s="1">
        <f t="shared" si="6"/>
        <v>517.7827748137438</v>
      </c>
    </row>
    <row r="147" spans="1:6" x14ac:dyDescent="0.25">
      <c r="A147" s="1" t="s">
        <v>155</v>
      </c>
      <c r="B147" s="1">
        <v>461</v>
      </c>
      <c r="C147" s="1">
        <f t="shared" si="4"/>
        <v>508.78126868083496</v>
      </c>
      <c r="D147" s="1">
        <f t="shared" si="5"/>
        <v>7.2094026760140988</v>
      </c>
      <c r="E147" s="1">
        <v>0.89768087200000002</v>
      </c>
      <c r="F147" s="1">
        <f t="shared" si="6"/>
        <v>449.39280792343874</v>
      </c>
    </row>
    <row r="148" spans="1:6" x14ac:dyDescent="0.25">
      <c r="A148" s="1" t="s">
        <v>156</v>
      </c>
      <c r="B148" s="1">
        <v>390</v>
      </c>
      <c r="C148" s="1">
        <f t="shared" ref="C148:C149" si="7">$C$1*(B148/E136)+(1-$C$1)*(C147+D147)</f>
        <v>511.56107686546312</v>
      </c>
      <c r="D148" s="1">
        <f t="shared" ref="D148:D149" si="8">$D$2*(C148-C147)+(1-$D$2)*D147</f>
        <v>5.8805243285983186</v>
      </c>
      <c r="E148" s="1">
        <v>0.77197530299999995</v>
      </c>
      <c r="F148" s="1">
        <f t="shared" ref="F148:F149" si="9">(C147+D147)*E136</f>
        <v>398.55359855656803</v>
      </c>
    </row>
    <row r="149" spans="1:6" x14ac:dyDescent="0.25">
      <c r="A149" s="1" t="s">
        <v>157</v>
      </c>
      <c r="B149" s="1">
        <v>432</v>
      </c>
      <c r="C149" s="1">
        <f t="shared" si="7"/>
        <v>511.90269221609782</v>
      </c>
      <c r="D149" s="1">
        <f t="shared" si="8"/>
        <v>4.2188516352092318</v>
      </c>
      <c r="E149" s="1">
        <v>0.85579629099999999</v>
      </c>
      <c r="F149" s="1">
        <f t="shared" si="9"/>
        <v>443.87865183283373</v>
      </c>
    </row>
    <row r="150" spans="1:6" x14ac:dyDescent="0.25">
      <c r="A150" s="9" t="s">
        <v>158</v>
      </c>
      <c r="E150" s="1">
        <v>1</v>
      </c>
      <c r="F150" s="1">
        <f>(C149+D149)*E137</f>
        <v>442.74626264670769</v>
      </c>
    </row>
    <row r="151" spans="1:6" x14ac:dyDescent="0.25">
      <c r="A151" s="9" t="s">
        <v>159</v>
      </c>
      <c r="E151" s="1">
        <v>2</v>
      </c>
      <c r="F151" s="1">
        <f>$C$149+(E151*$D$149)*E139</f>
        <v>519.07538391927858</v>
      </c>
    </row>
    <row r="152" spans="1:6" x14ac:dyDescent="0.25">
      <c r="A152" s="9" t="s">
        <v>160</v>
      </c>
      <c r="E152" s="1">
        <v>3</v>
      </c>
      <c r="F152" s="1">
        <f t="shared" ref="F152:F155" si="10">$C$149+(E152*$D$149)*E140</f>
        <v>524.24721547996842</v>
      </c>
    </row>
    <row r="153" spans="1:6" x14ac:dyDescent="0.25">
      <c r="A153" s="9" t="s">
        <v>161</v>
      </c>
      <c r="E153" s="1">
        <v>4</v>
      </c>
      <c r="F153" s="1">
        <f t="shared" si="10"/>
        <v>528.30774184006896</v>
      </c>
    </row>
    <row r="154" spans="1:6" x14ac:dyDescent="0.25">
      <c r="A154" s="9" t="s">
        <v>162</v>
      </c>
      <c r="E154" s="1">
        <v>5</v>
      </c>
      <c r="F154" s="1">
        <f t="shared" si="10"/>
        <v>532.65473031031286</v>
      </c>
    </row>
    <row r="155" spans="1:6" x14ac:dyDescent="0.25">
      <c r="A155" s="9" t="s">
        <v>163</v>
      </c>
      <c r="E155" s="1">
        <v>6</v>
      </c>
      <c r="F155" s="1">
        <f t="shared" si="10"/>
        <v>540.19925969945939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59AB-9CCF-4EF7-B002-25629F9BE49E}">
  <dimension ref="A1:E25"/>
  <sheetViews>
    <sheetView workbookViewId="0">
      <selection activeCell="E21" sqref="E21"/>
    </sheetView>
  </sheetViews>
  <sheetFormatPr defaultRowHeight="10.199999999999999" customHeight="1" x14ac:dyDescent="0.3"/>
  <sheetData>
    <row r="1" spans="1:5" ht="10.199999999999999" customHeight="1" x14ac:dyDescent="0.3">
      <c r="A1" s="19" t="s">
        <v>1</v>
      </c>
      <c r="B1" s="20" t="s">
        <v>170</v>
      </c>
      <c r="C1" s="21" t="s">
        <v>171</v>
      </c>
      <c r="D1" s="21" t="s">
        <v>172</v>
      </c>
      <c r="E1" s="22" t="s">
        <v>173</v>
      </c>
    </row>
    <row r="2" spans="1:5" ht="10.199999999999999" customHeight="1" x14ac:dyDescent="0.3">
      <c r="A2" s="23">
        <v>35065</v>
      </c>
      <c r="B2" s="1">
        <v>9.75</v>
      </c>
      <c r="C2" s="2"/>
      <c r="D2" s="2"/>
      <c r="E2" s="24"/>
    </row>
    <row r="3" spans="1:5" ht="10.199999999999999" customHeight="1" x14ac:dyDescent="0.3">
      <c r="A3" s="23">
        <v>35096</v>
      </c>
      <c r="B3" s="1">
        <v>10.09</v>
      </c>
      <c r="C3" s="2">
        <v>9.75</v>
      </c>
      <c r="D3" s="2"/>
      <c r="E3" s="24"/>
    </row>
    <row r="4" spans="1:5" ht="10.199999999999999" customHeight="1" x14ac:dyDescent="0.3">
      <c r="A4" s="23">
        <v>35125</v>
      </c>
      <c r="B4" s="1">
        <v>10.27</v>
      </c>
      <c r="C4" s="2">
        <v>10.09</v>
      </c>
      <c r="D4" s="29">
        <f>AVERAGE(B2:B3)</f>
        <v>9.92</v>
      </c>
      <c r="E4" s="24"/>
    </row>
    <row r="5" spans="1:5" ht="10.199999999999999" customHeight="1" x14ac:dyDescent="0.3">
      <c r="A5" s="23">
        <v>35156</v>
      </c>
      <c r="B5" s="1">
        <v>8.98</v>
      </c>
      <c r="C5" s="2">
        <v>10.27</v>
      </c>
      <c r="D5" s="29">
        <f>AVERAGE(B3:B4)</f>
        <v>10.18</v>
      </c>
      <c r="E5" s="24">
        <f>AVERAGE(B2:B4)</f>
        <v>10.036666666666667</v>
      </c>
    </row>
    <row r="6" spans="1:5" ht="10.199999999999999" customHeight="1" x14ac:dyDescent="0.3">
      <c r="A6" s="23">
        <v>35186</v>
      </c>
      <c r="B6" s="1">
        <v>8.7899999999999991</v>
      </c>
      <c r="C6" s="2">
        <f>B5</f>
        <v>8.98</v>
      </c>
      <c r="D6" s="29">
        <f t="shared" ref="D6:D18" si="0">AVERAGE(B4:B5)</f>
        <v>9.625</v>
      </c>
      <c r="E6" s="24">
        <f t="shared" ref="E6:E19" si="1">AVERAGE(B3:B5)</f>
        <v>9.7799999999999994</v>
      </c>
    </row>
    <row r="7" spans="1:5" ht="10.199999999999999" customHeight="1" x14ac:dyDescent="0.3">
      <c r="A7" s="23">
        <v>35217</v>
      </c>
      <c r="B7" s="1">
        <v>8.23</v>
      </c>
      <c r="C7" s="2">
        <f>B6</f>
        <v>8.7899999999999991</v>
      </c>
      <c r="D7" s="29">
        <f t="shared" si="0"/>
        <v>8.8849999999999998</v>
      </c>
      <c r="E7" s="24">
        <f t="shared" si="1"/>
        <v>9.3466666666666658</v>
      </c>
    </row>
    <row r="8" spans="1:5" ht="10.199999999999999" customHeight="1" x14ac:dyDescent="0.3">
      <c r="A8" s="23">
        <v>35247</v>
      </c>
      <c r="B8" s="1">
        <v>8.24</v>
      </c>
      <c r="C8" s="2">
        <f t="shared" ref="C8:C19" si="2">B7</f>
        <v>8.23</v>
      </c>
      <c r="D8" s="29">
        <f t="shared" si="0"/>
        <v>8.51</v>
      </c>
      <c r="E8" s="24">
        <f t="shared" si="1"/>
        <v>8.6666666666666661</v>
      </c>
    </row>
    <row r="9" spans="1:5" ht="10.199999999999999" customHeight="1" x14ac:dyDescent="0.3">
      <c r="A9" s="23">
        <v>35278</v>
      </c>
      <c r="B9" s="1">
        <v>8.9700000000000006</v>
      </c>
      <c r="C9" s="2">
        <f t="shared" si="2"/>
        <v>8.24</v>
      </c>
      <c r="D9" s="29">
        <f t="shared" si="0"/>
        <v>8.2349999999999994</v>
      </c>
      <c r="E9" s="24">
        <f t="shared" si="1"/>
        <v>8.42</v>
      </c>
    </row>
    <row r="10" spans="1:5" ht="10.199999999999999" customHeight="1" x14ac:dyDescent="0.3">
      <c r="A10" s="23">
        <v>35309</v>
      </c>
      <c r="B10" s="1">
        <v>9.0299999999999994</v>
      </c>
      <c r="C10" s="2">
        <f t="shared" si="2"/>
        <v>8.9700000000000006</v>
      </c>
      <c r="D10" s="29">
        <f t="shared" si="0"/>
        <v>8.6050000000000004</v>
      </c>
      <c r="E10" s="24">
        <f t="shared" si="1"/>
        <v>8.4799999999999986</v>
      </c>
    </row>
    <row r="11" spans="1:5" ht="10.199999999999999" customHeight="1" x14ac:dyDescent="0.3">
      <c r="A11" s="23">
        <v>35339</v>
      </c>
      <c r="B11" s="1">
        <v>9.31</v>
      </c>
      <c r="C11" s="2">
        <f t="shared" si="2"/>
        <v>9.0299999999999994</v>
      </c>
      <c r="D11" s="29">
        <f t="shared" si="0"/>
        <v>9</v>
      </c>
      <c r="E11" s="24">
        <f t="shared" si="1"/>
        <v>8.7466666666666679</v>
      </c>
    </row>
    <row r="12" spans="1:5" ht="10.199999999999999" customHeight="1" x14ac:dyDescent="0.3">
      <c r="A12" s="23">
        <v>35370</v>
      </c>
      <c r="B12" s="1">
        <v>10.25</v>
      </c>
      <c r="C12" s="2">
        <f t="shared" si="2"/>
        <v>9.31</v>
      </c>
      <c r="D12" s="29">
        <f t="shared" si="0"/>
        <v>9.17</v>
      </c>
      <c r="E12" s="24">
        <f t="shared" si="1"/>
        <v>9.1033333333333335</v>
      </c>
    </row>
    <row r="13" spans="1:5" ht="10.199999999999999" customHeight="1" x14ac:dyDescent="0.3">
      <c r="A13" s="23">
        <v>35400</v>
      </c>
      <c r="B13" s="1">
        <v>9.5</v>
      </c>
      <c r="C13" s="2">
        <f t="shared" si="2"/>
        <v>10.25</v>
      </c>
      <c r="D13" s="29">
        <f t="shared" si="0"/>
        <v>9.7800000000000011</v>
      </c>
      <c r="E13" s="24">
        <f t="shared" si="1"/>
        <v>9.5299999999999994</v>
      </c>
    </row>
    <row r="14" spans="1:5" ht="10.199999999999999" customHeight="1" x14ac:dyDescent="0.3">
      <c r="A14" s="23">
        <v>35431</v>
      </c>
      <c r="B14" s="1">
        <v>10.050000000000001</v>
      </c>
      <c r="C14" s="2">
        <f t="shared" si="2"/>
        <v>9.5</v>
      </c>
      <c r="D14" s="29">
        <f t="shared" si="0"/>
        <v>9.875</v>
      </c>
      <c r="E14" s="24">
        <f t="shared" si="1"/>
        <v>9.6866666666666674</v>
      </c>
    </row>
    <row r="15" spans="1:5" ht="10.199999999999999" customHeight="1" x14ac:dyDescent="0.3">
      <c r="A15" s="23">
        <v>35462</v>
      </c>
      <c r="B15" s="1">
        <v>9.5</v>
      </c>
      <c r="C15" s="2">
        <f t="shared" si="2"/>
        <v>10.050000000000001</v>
      </c>
      <c r="D15" s="29">
        <f t="shared" si="0"/>
        <v>9.7750000000000004</v>
      </c>
      <c r="E15" s="24">
        <f t="shared" si="1"/>
        <v>9.9333333333333336</v>
      </c>
    </row>
    <row r="16" spans="1:5" ht="10.199999999999999" customHeight="1" x14ac:dyDescent="0.3">
      <c r="A16" s="23">
        <v>35490</v>
      </c>
      <c r="B16" s="1">
        <v>10.050000000000001</v>
      </c>
      <c r="C16" s="2">
        <f t="shared" si="2"/>
        <v>9.5</v>
      </c>
      <c r="D16" s="29">
        <f t="shared" si="0"/>
        <v>9.7750000000000004</v>
      </c>
      <c r="E16" s="24">
        <f t="shared" si="1"/>
        <v>9.6833333333333336</v>
      </c>
    </row>
    <row r="17" spans="1:5" ht="10.199999999999999" customHeight="1" x14ac:dyDescent="0.3">
      <c r="A17" s="23">
        <v>35521</v>
      </c>
      <c r="B17" s="1">
        <v>9.3800000000000008</v>
      </c>
      <c r="C17" s="2">
        <f t="shared" si="2"/>
        <v>10.050000000000001</v>
      </c>
      <c r="D17" s="29">
        <f t="shared" si="0"/>
        <v>9.7750000000000004</v>
      </c>
      <c r="E17" s="24">
        <f t="shared" si="1"/>
        <v>9.8666666666666671</v>
      </c>
    </row>
    <row r="18" spans="1:5" ht="10.199999999999999" customHeight="1" x14ac:dyDescent="0.3">
      <c r="A18" s="23">
        <v>35551</v>
      </c>
      <c r="B18" s="1">
        <v>9.44</v>
      </c>
      <c r="C18" s="2">
        <f t="shared" si="2"/>
        <v>9.3800000000000008</v>
      </c>
      <c r="D18" s="29">
        <f t="shared" si="0"/>
        <v>9.7149999999999999</v>
      </c>
      <c r="E18" s="24">
        <f t="shared" si="1"/>
        <v>9.6433333333333326</v>
      </c>
    </row>
    <row r="19" spans="1:5" ht="10.199999999999999" customHeight="1" x14ac:dyDescent="0.3">
      <c r="A19" s="23">
        <v>35582</v>
      </c>
      <c r="B19" s="1">
        <v>10.02</v>
      </c>
      <c r="C19" s="2">
        <f t="shared" si="2"/>
        <v>9.44</v>
      </c>
      <c r="D19" s="29">
        <f>AVERAGE(B17:B18)</f>
        <v>9.41</v>
      </c>
      <c r="E19" s="24">
        <f t="shared" si="1"/>
        <v>9.6233333333333331</v>
      </c>
    </row>
    <row r="20" spans="1:5" ht="10.199999999999999" customHeight="1" x14ac:dyDescent="0.3">
      <c r="A20" s="25">
        <v>35612</v>
      </c>
      <c r="B20" s="1"/>
      <c r="C20" s="2">
        <f>B19</f>
        <v>10.02</v>
      </c>
      <c r="D20" s="29">
        <f>AVERAGE(B18:B19)</f>
        <v>9.73</v>
      </c>
      <c r="E20" s="24">
        <f>AVERAGE(B17:B19)</f>
        <v>9.6133333333333333</v>
      </c>
    </row>
    <row r="21" spans="1:5" ht="10.199999999999999" customHeight="1" x14ac:dyDescent="0.3">
      <c r="A21" s="25">
        <v>35643</v>
      </c>
      <c r="B21" s="1"/>
      <c r="C21" s="2">
        <f>B19</f>
        <v>10.02</v>
      </c>
      <c r="D21" s="29">
        <f>AVERAGE(B19:D20)</f>
        <v>9.7240000000000002</v>
      </c>
      <c r="E21" s="24">
        <f>AVERAGE(B18:B19,E20)</f>
        <v>9.6911111111111108</v>
      </c>
    </row>
    <row r="22" spans="1:5" ht="10.199999999999999" customHeight="1" x14ac:dyDescent="0.3">
      <c r="A22" s="25">
        <v>35674</v>
      </c>
      <c r="B22" s="1"/>
      <c r="C22" s="2">
        <f>C21</f>
        <v>10.02</v>
      </c>
      <c r="D22" s="29">
        <f>AVERAGE(D20:D21)</f>
        <v>9.7270000000000003</v>
      </c>
      <c r="E22" s="24">
        <f>AVERAGE(E19:E21)</f>
        <v>9.6425925925925924</v>
      </c>
    </row>
    <row r="23" spans="1:5" ht="10.199999999999999" customHeight="1" x14ac:dyDescent="0.3">
      <c r="A23" s="25">
        <v>35704</v>
      </c>
      <c r="B23" s="1"/>
      <c r="C23" s="2">
        <f t="shared" ref="C23:C25" si="3">C22</f>
        <v>10.02</v>
      </c>
      <c r="D23" s="29">
        <f t="shared" ref="D23:D25" si="4">AVERAGE(D21:D22)</f>
        <v>9.7255000000000003</v>
      </c>
      <c r="E23" s="24">
        <f>AVERAGE(E20:E22)</f>
        <v>9.6490123456790116</v>
      </c>
    </row>
    <row r="24" spans="1:5" ht="10.199999999999999" customHeight="1" x14ac:dyDescent="0.3">
      <c r="A24" s="25">
        <v>35735</v>
      </c>
      <c r="B24" s="1"/>
      <c r="C24" s="2">
        <f t="shared" si="3"/>
        <v>10.02</v>
      </c>
      <c r="D24" s="29">
        <f t="shared" si="4"/>
        <v>9.7262500000000003</v>
      </c>
      <c r="E24" s="24">
        <f t="shared" ref="E24:E25" si="5">AVERAGE(E21:E23)</f>
        <v>9.6609053497942394</v>
      </c>
    </row>
    <row r="25" spans="1:5" ht="10.199999999999999" customHeight="1" x14ac:dyDescent="0.3">
      <c r="A25" s="26">
        <v>35765</v>
      </c>
      <c r="B25" s="17"/>
      <c r="C25" s="27">
        <f t="shared" si="3"/>
        <v>10.02</v>
      </c>
      <c r="D25" s="30">
        <f t="shared" si="4"/>
        <v>9.7258750000000003</v>
      </c>
      <c r="E25" s="28">
        <f t="shared" si="5"/>
        <v>9.6508367626886145</v>
      </c>
    </row>
  </sheetData>
  <pageMargins left="0.7" right="0.7" top="0.75" bottom="0.75" header="0.3" footer="0.3"/>
  <ignoredErrors>
    <ignoredError sqref="D4:D25 E5:E25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6B00-5220-4E81-939C-7F021F693349}">
  <dimension ref="A1:D13"/>
  <sheetViews>
    <sheetView tabSelected="1" workbookViewId="0">
      <selection activeCell="E28" sqref="E28"/>
    </sheetView>
  </sheetViews>
  <sheetFormatPr defaultRowHeight="11.4" customHeight="1" x14ac:dyDescent="0.25"/>
  <cols>
    <col min="1" max="1" width="8" style="33" bestFit="1" customWidth="1"/>
    <col min="2" max="2" width="13.109375" style="33" bestFit="1" customWidth="1"/>
    <col min="3" max="3" width="7.77734375" style="33" bestFit="1" customWidth="1"/>
    <col min="4" max="4" width="7.44140625" style="33" bestFit="1" customWidth="1"/>
    <col min="5" max="16384" width="8.88671875" style="33"/>
  </cols>
  <sheetData>
    <row r="1" spans="1:4" ht="11.4" customHeight="1" x14ac:dyDescent="0.25">
      <c r="A1" s="31" t="s">
        <v>6</v>
      </c>
      <c r="B1" s="32" t="s">
        <v>174</v>
      </c>
      <c r="C1" s="32" t="s">
        <v>175</v>
      </c>
      <c r="D1" s="32" t="s">
        <v>176</v>
      </c>
    </row>
    <row r="2" spans="1:4" ht="11.4" customHeight="1" x14ac:dyDescent="0.25">
      <c r="A2" s="34" t="s">
        <v>177</v>
      </c>
      <c r="B2" s="35">
        <v>10</v>
      </c>
      <c r="C2" s="35"/>
      <c r="D2" s="35"/>
    </row>
    <row r="3" spans="1:4" ht="11.4" customHeight="1" x14ac:dyDescent="0.25">
      <c r="A3" s="34" t="s">
        <v>178</v>
      </c>
      <c r="B3" s="35">
        <v>12</v>
      </c>
      <c r="C3" s="36">
        <f>AVERAGE(B2:B4)</f>
        <v>9.3333333333333339</v>
      </c>
      <c r="D3" s="35"/>
    </row>
    <row r="4" spans="1:4" ht="11.4" customHeight="1" x14ac:dyDescent="0.25">
      <c r="A4" s="34" t="s">
        <v>179</v>
      </c>
      <c r="B4" s="35">
        <v>6</v>
      </c>
      <c r="C4" s="36">
        <f>AVERAGE(B3:B5)</f>
        <v>7.666666666666667</v>
      </c>
      <c r="D4" s="35">
        <f>AVERAGE(B2:B6)</f>
        <v>11</v>
      </c>
    </row>
    <row r="5" spans="1:4" ht="11.4" customHeight="1" x14ac:dyDescent="0.25">
      <c r="A5" s="34" t="s">
        <v>180</v>
      </c>
      <c r="B5" s="35">
        <v>5</v>
      </c>
      <c r="C5" s="36">
        <f t="shared" ref="C5:C12" si="0">AVERAGE(B4:B6)</f>
        <v>11</v>
      </c>
      <c r="D5" s="35">
        <f>AVERAGE(B3:B7)</f>
        <v>12.6</v>
      </c>
    </row>
    <row r="6" spans="1:4" ht="11.4" customHeight="1" x14ac:dyDescent="0.25">
      <c r="A6" s="34" t="s">
        <v>181</v>
      </c>
      <c r="B6" s="35">
        <v>22</v>
      </c>
      <c r="C6" s="36">
        <f t="shared" si="0"/>
        <v>15</v>
      </c>
      <c r="D6" s="35">
        <f t="shared" ref="D6:D11" si="1">AVERAGE(B4:B8)</f>
        <v>12.8</v>
      </c>
    </row>
    <row r="7" spans="1:4" ht="11.4" customHeight="1" x14ac:dyDescent="0.25">
      <c r="A7" s="34" t="s">
        <v>182</v>
      </c>
      <c r="B7" s="35">
        <v>18</v>
      </c>
      <c r="C7" s="36">
        <f t="shared" si="0"/>
        <v>17.666666666666668</v>
      </c>
      <c r="D7" s="35">
        <f t="shared" si="1"/>
        <v>13</v>
      </c>
    </row>
    <row r="8" spans="1:4" ht="11.4" customHeight="1" x14ac:dyDescent="0.25">
      <c r="A8" s="34" t="s">
        <v>183</v>
      </c>
      <c r="B8" s="35">
        <v>13</v>
      </c>
      <c r="C8" s="36">
        <f t="shared" si="0"/>
        <v>12.666666666666666</v>
      </c>
      <c r="D8" s="35">
        <f t="shared" si="1"/>
        <v>13.8</v>
      </c>
    </row>
    <row r="9" spans="1:4" ht="11.4" customHeight="1" x14ac:dyDescent="0.25">
      <c r="A9" s="34" t="s">
        <v>184</v>
      </c>
      <c r="B9" s="35">
        <v>7</v>
      </c>
      <c r="C9" s="36">
        <f t="shared" si="0"/>
        <v>9.6666666666666661</v>
      </c>
      <c r="D9" s="35">
        <f t="shared" si="1"/>
        <v>11.4</v>
      </c>
    </row>
    <row r="10" spans="1:4" ht="11.4" customHeight="1" x14ac:dyDescent="0.25">
      <c r="A10" s="34" t="s">
        <v>185</v>
      </c>
      <c r="B10" s="35">
        <v>9</v>
      </c>
      <c r="C10" s="36">
        <f t="shared" si="0"/>
        <v>8.6666666666666661</v>
      </c>
      <c r="D10" s="35">
        <f t="shared" si="1"/>
        <v>9.4</v>
      </c>
    </row>
    <row r="11" spans="1:4" ht="11.4" customHeight="1" x14ac:dyDescent="0.25">
      <c r="A11" s="34" t="s">
        <v>186</v>
      </c>
      <c r="B11" s="35">
        <v>10</v>
      </c>
      <c r="C11" s="36">
        <f t="shared" si="0"/>
        <v>9</v>
      </c>
      <c r="D11" s="35">
        <f t="shared" si="1"/>
        <v>9.8000000000000007</v>
      </c>
    </row>
    <row r="12" spans="1:4" ht="11.4" customHeight="1" x14ac:dyDescent="0.25">
      <c r="A12" s="34" t="s">
        <v>187</v>
      </c>
      <c r="B12" s="35">
        <v>8</v>
      </c>
      <c r="C12" s="36">
        <f t="shared" si="0"/>
        <v>11</v>
      </c>
      <c r="D12" s="35"/>
    </row>
    <row r="13" spans="1:4" ht="11.4" customHeight="1" x14ac:dyDescent="0.25">
      <c r="A13" s="34" t="s">
        <v>188</v>
      </c>
      <c r="B13" s="35">
        <v>15</v>
      </c>
      <c r="C13" s="35"/>
      <c r="D13" s="35"/>
    </row>
  </sheetData>
  <pageMargins left="0.7" right="0.7" top="0.75" bottom="0.75" header="0.3" footer="0.3"/>
  <ignoredErrors>
    <ignoredError sqref="C3:C13 D4:D12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Simple Exponential</vt:lpstr>
      <vt:lpstr>Double Exponential</vt:lpstr>
      <vt:lpstr>Tripple Exponential</vt:lpstr>
      <vt:lpstr>Moving Average</vt:lpstr>
      <vt:lpstr>Centring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Thakare, Indrajeet S</dc:creator>
  <cp:lastModifiedBy>Thakare, Indrajeet S</cp:lastModifiedBy>
  <dcterms:created xsi:type="dcterms:W3CDTF">2025-01-03T17:38:47Z</dcterms:created>
  <dcterms:modified xsi:type="dcterms:W3CDTF">2025-01-03T18:20:34Z</dcterms:modified>
</cp:coreProperties>
</file>